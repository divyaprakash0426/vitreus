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Expenses" sheetId="2" state="visible" r:id="rId2"/>
    <sheet name="HR_Revie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3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8" customWidth="1" min="11" max="11"/>
    <col width="20" customWidth="1" min="12" max="12"/>
    <col width="30" customWidth="1" min="13" max="13"/>
    <col width="15" customWidth="1" min="14" max="14"/>
    <col width="30" customWidth="1" min="15" max="15"/>
  </cols>
  <sheetData>
    <row r="1">
      <c r="A1" s="1" t="inlineStr">
        <is>
          <t>SalesRep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Q1_Target</t>
        </is>
      </c>
      <c r="E1" s="1" t="inlineStr">
        <is>
          <t>Q1_Actual</t>
        </is>
      </c>
      <c r="F1" s="1" t="inlineStr">
        <is>
          <t>Q2_Target</t>
        </is>
      </c>
      <c r="G1" s="1" t="inlineStr">
        <is>
          <t>Q2_Actual</t>
        </is>
      </c>
      <c r="H1" s="1" t="inlineStr">
        <is>
          <t>Q3_Target</t>
        </is>
      </c>
      <c r="I1" s="1" t="inlineStr">
        <is>
          <t>Q3_Actual</t>
        </is>
      </c>
      <c r="J1" s="1" t="inlineStr">
        <is>
          <t>YTD_Total</t>
        </is>
      </c>
      <c r="K1" s="1" t="inlineStr">
        <is>
          <t>Commission_Rate</t>
        </is>
      </c>
      <c r="L1" s="1" t="inlineStr">
        <is>
          <t>Commission_Earned</t>
        </is>
      </c>
      <c r="M1" s="1" t="inlineStr">
        <is>
          <t>Quota_Attainment</t>
        </is>
      </c>
      <c r="N1" s="1" t="inlineStr">
        <is>
          <t>Status</t>
        </is>
      </c>
      <c r="O1" s="1" t="inlineStr">
        <is>
          <t>Notes</t>
        </is>
      </c>
    </row>
    <row r="2">
      <c r="A2" s="2" t="inlineStr">
        <is>
          <t>Ada Lovelace</t>
        </is>
      </c>
      <c r="B2" s="2" t="inlineStr">
        <is>
          <t>North</t>
        </is>
      </c>
      <c r="C2" s="2" t="inlineStr">
        <is>
          <t>Enterprise</t>
        </is>
      </c>
      <c r="D2" s="2" t="n">
        <v>80000</v>
      </c>
      <c r="E2" s="2" t="n">
        <v>85000</v>
      </c>
      <c r="F2" s="2" t="n">
        <v>85000</v>
      </c>
      <c r="G2" s="2" t="n">
        <v>78000</v>
      </c>
      <c r="H2" s="2" t="n">
        <v>90000</v>
      </c>
      <c r="I2" s="2" t="n">
        <v>92000</v>
      </c>
      <c r="J2" s="2">
        <f>E2+G2+I2</f>
        <v/>
      </c>
      <c r="K2" s="2" t="n">
        <v>0.08</v>
      </c>
      <c r="L2" s="2">
        <f>J2*K2</f>
        <v/>
      </c>
      <c r="M2" s="2">
        <f>(E2+G2+I2)/(D2+F2+H2)</f>
        <v/>
      </c>
      <c r="N2" s="2" t="inlineStr">
        <is>
          <t>Active</t>
        </is>
      </c>
      <c r="O2" s="2" t="inlineStr"/>
    </row>
    <row r="3">
      <c r="A3" s="3" t="inlineStr">
        <is>
          <t>Alan Turing</t>
        </is>
      </c>
      <c r="B3" s="3" t="inlineStr">
        <is>
          <t>East</t>
        </is>
      </c>
      <c r="C3" s="3" t="inlineStr">
        <is>
          <t>SMB</t>
        </is>
      </c>
      <c r="D3" s="3" t="n">
        <v>50000</v>
      </c>
      <c r="E3" s="3" t="n">
        <v>32000</v>
      </c>
      <c r="F3" s="3" t="n">
        <v>55000</v>
      </c>
      <c r="G3" s="3" t="n">
        <v>60000</v>
      </c>
      <c r="H3" s="3" t="n">
        <v>58000</v>
      </c>
      <c r="I3" s="3" t="n">
        <v>29000</v>
      </c>
      <c r="J3" s="3">
        <f>E3+G3+I3</f>
        <v/>
      </c>
      <c r="K3" s="3" t="n">
        <v>0.06</v>
      </c>
      <c r="L3" s="3">
        <f>J3*K3</f>
        <v/>
      </c>
      <c r="M3" s="3">
        <f>(E3+G3+I3)/(D3+F3+H3)</f>
        <v/>
      </c>
      <c r="N3" s="3" t="inlineStr">
        <is>
          <t>Under Review</t>
        </is>
      </c>
      <c r="O3" s="3" t="inlineStr">
        <is>
          <t>Q3 collapse — needs coaching</t>
        </is>
      </c>
    </row>
    <row r="4">
      <c r="A4" s="2" t="inlineStr">
        <is>
          <t>Grace Hopper</t>
        </is>
      </c>
      <c r="B4" s="2" t="inlineStr">
        <is>
          <t>West</t>
        </is>
      </c>
      <c r="C4" s="2" t="inlineStr">
        <is>
          <t>Enterprise</t>
        </is>
      </c>
      <c r="D4" s="2" t="n">
        <v>90000</v>
      </c>
      <c r="E4" s="2" t="n">
        <v>94000</v>
      </c>
      <c r="F4" s="2" t="n">
        <v>95000</v>
      </c>
      <c r="G4" s="2" t="n">
        <v>91000</v>
      </c>
      <c r="H4" s="2" t="n">
        <v>100000</v>
      </c>
      <c r="I4" s="2" t="n">
        <v>98000</v>
      </c>
      <c r="J4" s="2">
        <f>E4+G4+I4</f>
        <v/>
      </c>
      <c r="K4" s="2" t="n">
        <v>0.09</v>
      </c>
      <c r="L4" s="2">
        <f>J4*K4</f>
        <v/>
      </c>
      <c r="M4" s="2">
        <f>(E4+G4+I4)/(D4+F4+H4)</f>
        <v/>
      </c>
      <c r="N4" s="2" t="inlineStr">
        <is>
          <t>Active</t>
        </is>
      </c>
      <c r="O4" s="2" t="inlineStr">
        <is>
          <t>Consistent top performer</t>
        </is>
      </c>
    </row>
    <row r="5">
      <c r="A5" s="3" t="inlineStr">
        <is>
          <t>Linus Torvalds</t>
        </is>
      </c>
      <c r="B5" s="3" t="inlineStr">
        <is>
          <t>North</t>
        </is>
      </c>
      <c r="C5" s="3" t="inlineStr">
        <is>
          <t>Platform</t>
        </is>
      </c>
      <c r="D5" s="3" t="n">
        <v>70000</v>
      </c>
      <c r="E5" s="3" t="n">
        <v>75000</v>
      </c>
      <c r="F5" s="3" t="n">
        <v>75000</v>
      </c>
      <c r="G5" s="3" t="n">
        <v>77000</v>
      </c>
      <c r="H5" s="3" t="n">
        <v>80000</v>
      </c>
      <c r="I5" s="3" t="n">
        <v>81000</v>
      </c>
      <c r="J5" s="3">
        <f>E5+G5+I5</f>
        <v/>
      </c>
      <c r="K5" s="3" t="n">
        <v>0.08</v>
      </c>
      <c r="L5" s="3">
        <f>J5*K5</f>
        <v/>
      </c>
      <c r="M5" s="3">
        <f>(E5+G5+I5)/(D5+F5+H5)</f>
        <v/>
      </c>
      <c r="N5" s="3" t="inlineStr">
        <is>
          <t>Active</t>
        </is>
      </c>
      <c r="O5" s="3" t="inlineStr"/>
    </row>
    <row r="6">
      <c r="A6" s="2" t="inlineStr">
        <is>
          <t>Barbara Liskov</t>
        </is>
      </c>
      <c r="B6" s="2" t="inlineStr">
        <is>
          <t>South</t>
        </is>
      </c>
      <c r="C6" s="2" t="inlineStr">
        <is>
          <t>SMB</t>
        </is>
      </c>
      <c r="D6" s="2" t="n">
        <v>45000</v>
      </c>
      <c r="E6" s="2" t="n">
        <v>41000</v>
      </c>
      <c r="F6" s="2" t="n">
        <v>48000</v>
      </c>
      <c r="G6" s="2" t="n">
        <v>38000</v>
      </c>
      <c r="H6" s="2" t="n">
        <v>50000</v>
      </c>
      <c r="I6" s="2" t="n">
        <v>44000</v>
      </c>
      <c r="J6" s="2">
        <f>E6+G6+I6</f>
        <v/>
      </c>
      <c r="K6" s="2" t="n">
        <v>0.06</v>
      </c>
      <c r="L6" s="2">
        <f>J6*K6</f>
        <v/>
      </c>
      <c r="M6" s="2">
        <f>(E6+G6+I6)/(D6+F6+H6)</f>
        <v/>
      </c>
      <c r="N6" s="2" t="inlineStr">
        <is>
          <t>At Risk</t>
        </is>
      </c>
      <c r="O6" s="2" t="inlineStr">
        <is>
          <t>Missed Q2 and Q3 targets</t>
        </is>
      </c>
    </row>
    <row r="7">
      <c r="A7" s="3" t="inlineStr">
        <is>
          <t>Bjarne Stroustrup</t>
        </is>
      </c>
      <c r="B7" s="3" t="inlineStr">
        <is>
          <t>East</t>
        </is>
      </c>
      <c r="C7" s="3" t="inlineStr">
        <is>
          <t>Platform</t>
        </is>
      </c>
      <c r="D7" s="3" t="n">
        <v>65000</v>
      </c>
      <c r="E7" s="3" t="n">
        <v>62000</v>
      </c>
      <c r="F7" s="3" t="n">
        <v>68000</v>
      </c>
      <c r="G7" s="3" t="n">
        <v>65000</v>
      </c>
      <c r="H7" s="3" t="n">
        <v>72000</v>
      </c>
      <c r="I7" s="3" t="n">
        <v>70000</v>
      </c>
      <c r="J7" s="3">
        <f>E7+G7+I7</f>
        <v/>
      </c>
      <c r="K7" s="3" t="n">
        <v>0.07000000000000001</v>
      </c>
      <c r="L7" s="3">
        <f>J7*K7</f>
        <v/>
      </c>
      <c r="M7" s="3">
        <f>(E7+G7+I7)/(D7+F7+H7)</f>
        <v/>
      </c>
      <c r="N7" s="3" t="inlineStr">
        <is>
          <t>Active</t>
        </is>
      </c>
      <c r="O7" s="3" t="inlineStr"/>
    </row>
    <row r="8">
      <c r="A8" s="2" t="inlineStr">
        <is>
          <t>Margaret Hamilton</t>
        </is>
      </c>
      <c r="B8" s="2" t="inlineStr">
        <is>
          <t>West</t>
        </is>
      </c>
      <c r="C8" s="2" t="inlineStr">
        <is>
          <t>Enterprise</t>
        </is>
      </c>
      <c r="D8" s="2" t="n">
        <v>88000</v>
      </c>
      <c r="E8" s="2" t="n">
        <v>89000</v>
      </c>
      <c r="F8" s="2" t="n">
        <v>92000</v>
      </c>
      <c r="G8" s="2" t="n">
        <v>93000</v>
      </c>
      <c r="H8" s="2" t="n">
        <v>96000</v>
      </c>
      <c r="I8" s="2" t="n">
        <v>97000</v>
      </c>
      <c r="J8" s="2">
        <f>E8+G8+I8</f>
        <v/>
      </c>
      <c r="K8" s="2" t="n">
        <v>0.09</v>
      </c>
      <c r="L8" s="2">
        <f>J8*K8</f>
        <v/>
      </c>
      <c r="M8" s="2">
        <f>(E8+G8+I8)/(D8+F8+H8)</f>
        <v/>
      </c>
      <c r="N8" s="2" t="inlineStr">
        <is>
          <t>Active</t>
        </is>
      </c>
      <c r="O8" s="2" t="inlineStr">
        <is>
          <t>Exceeds quota every quarter</t>
        </is>
      </c>
    </row>
    <row r="9">
      <c r="A9" s="3" t="inlineStr">
        <is>
          <t>Dennis Ritchie</t>
        </is>
      </c>
      <c r="B9" s="3" t="inlineStr">
        <is>
          <t>South</t>
        </is>
      </c>
      <c r="C9" s="3" t="inlineStr">
        <is>
          <t>SMB</t>
        </is>
      </c>
      <c r="D9" s="3" t="n">
        <v>42000</v>
      </c>
      <c r="E9" s="3" t="n">
        <v>25000</v>
      </c>
      <c r="F9" s="3" t="n">
        <v>44000</v>
      </c>
      <c r="G9" s="3" t="n">
        <v>22000</v>
      </c>
      <c r="H9" s="3" t="n">
        <v>46000</v>
      </c>
      <c r="I9" s="3" t="n">
        <v>18000</v>
      </c>
      <c r="J9" s="3">
        <f>E9+G9+I9</f>
        <v/>
      </c>
      <c r="K9" s="3" t="n">
        <v>0.06</v>
      </c>
      <c r="L9" s="3">
        <f>J9*K9</f>
        <v/>
      </c>
      <c r="M9" s="3">
        <f>(E9+G9+I9)/(D9+F9+H9)</f>
        <v/>
      </c>
      <c r="N9" s="3" t="inlineStr">
        <is>
          <t>Under Review</t>
        </is>
      </c>
      <c r="O9" s="3" t="inlineStr">
        <is>
          <t>Significant underperformance</t>
        </is>
      </c>
    </row>
    <row r="10">
      <c r="A10" s="2" t="inlineStr">
        <is>
          <t>Ken Thompson</t>
        </is>
      </c>
      <c r="B10" s="2" t="inlineStr">
        <is>
          <t>North</t>
        </is>
      </c>
      <c r="C10" s="2" t="inlineStr">
        <is>
          <t>Platform</t>
        </is>
      </c>
      <c r="D10" s="2" t="n">
        <v>68000</v>
      </c>
      <c r="E10" s="2" t="n">
        <v>70000</v>
      </c>
      <c r="F10" s="2" t="n">
        <v>72000</v>
      </c>
      <c r="G10" s="2" t="n">
        <v>71000</v>
      </c>
      <c r="H10" s="2" t="n">
        <v>76000</v>
      </c>
      <c r="I10" s="2" t="n">
        <v>75000</v>
      </c>
      <c r="J10" s="2">
        <f>E10+G10+I10</f>
        <v/>
      </c>
      <c r="K10" s="2" t="n">
        <v>0.07000000000000001</v>
      </c>
      <c r="L10" s="2">
        <f>J10*K10</f>
        <v/>
      </c>
      <c r="M10" s="2">
        <f>(E10+G10+I10)/(D10+F10+H10)</f>
        <v/>
      </c>
      <c r="N10" s="2" t="inlineStr">
        <is>
          <t>Active</t>
        </is>
      </c>
      <c r="O10" s="2" t="inlineStr"/>
    </row>
    <row r="11">
      <c r="A11" s="3" t="inlineStr">
        <is>
          <t>Guido van Rossum</t>
        </is>
      </c>
      <c r="B11" s="3" t="inlineStr">
        <is>
          <t>West</t>
        </is>
      </c>
      <c r="C11" s="3" t="inlineStr">
        <is>
          <t>Enterprise</t>
        </is>
      </c>
      <c r="D11" s="3" t="n">
        <v>85000</v>
      </c>
      <c r="E11" s="3" t="n">
        <v>87000</v>
      </c>
      <c r="F11" s="3" t="n">
        <v>89000</v>
      </c>
      <c r="G11" s="3" t="n">
        <v>85000</v>
      </c>
      <c r="H11" s="3" t="n">
        <v>93000</v>
      </c>
      <c r="I11" s="3" t="n">
        <v>90000</v>
      </c>
      <c r="J11" s="3">
        <f>E11+G11+I11</f>
        <v/>
      </c>
      <c r="K11" s="3" t="n">
        <v>0.08</v>
      </c>
      <c r="L11" s="3">
        <f>J11*K11</f>
        <v/>
      </c>
      <c r="M11" s="3">
        <f>(E11+G11+I11)/(D11+F11+H11)</f>
        <v/>
      </c>
      <c r="N11" s="3" t="inlineStr">
        <is>
          <t>Active</t>
        </is>
      </c>
      <c r="O11" s="3" t="inlineStr"/>
    </row>
    <row r="12">
      <c r="A12" s="2" t="inlineStr">
        <is>
          <t>Tim Berners-Lee</t>
        </is>
      </c>
      <c r="B12" s="2" t="inlineStr">
        <is>
          <t>East</t>
        </is>
      </c>
      <c r="C12" s="2" t="inlineStr">
        <is>
          <t>SMB</t>
        </is>
      </c>
      <c r="D12" s="2" t="n">
        <v>48000</v>
      </c>
      <c r="E12" s="2" t="n">
        <v>50000</v>
      </c>
      <c r="F12" s="2" t="n">
        <v>52000</v>
      </c>
      <c r="G12" s="2" t="n">
        <v>49000</v>
      </c>
      <c r="H12" s="2" t="n">
        <v>55000</v>
      </c>
      <c r="I12" s="2" t="n">
        <v>54000</v>
      </c>
      <c r="J12" s="2">
        <f>E12+G12+I12</f>
        <v/>
      </c>
      <c r="K12" s="2" t="n">
        <v>0.06</v>
      </c>
      <c r="L12" s="2">
        <f>J12*K12</f>
        <v/>
      </c>
      <c r="M12" s="2">
        <f>(E12+G12+I12)/(D12+F12+H12)</f>
        <v/>
      </c>
      <c r="N12" s="2" t="inlineStr">
        <is>
          <t>Active</t>
        </is>
      </c>
      <c r="O12" s="2" t="inlineStr"/>
    </row>
    <row r="13">
      <c r="A13" s="3" t="inlineStr">
        <is>
          <t>Vint Cerf</t>
        </is>
      </c>
      <c r="B13" s="3" t="inlineStr">
        <is>
          <t>South</t>
        </is>
      </c>
      <c r="C13" s="3" t="inlineStr">
        <is>
          <t>Enterprise</t>
        </is>
      </c>
      <c r="D13" s="3" t="n">
        <v>78000</v>
      </c>
      <c r="E13" s="3" t="n">
        <v>80000</v>
      </c>
      <c r="F13" s="3" t="n">
        <v>82000</v>
      </c>
      <c r="G13" s="3" t="n">
        <v>84000</v>
      </c>
      <c r="H13" s="3" t="n">
        <v>86000</v>
      </c>
      <c r="I13" s="3" t="n">
        <v>88000</v>
      </c>
      <c r="J13" s="3">
        <f>E13+G13+I13</f>
        <v/>
      </c>
      <c r="K13" s="3" t="n">
        <v>0.08</v>
      </c>
      <c r="L13" s="3">
        <f>J13*K13</f>
        <v/>
      </c>
      <c r="M13" s="3">
        <f>(E13+G13+I13)/(D13+F13+H13)</f>
        <v/>
      </c>
      <c r="N13" s="3" t="inlineStr">
        <is>
          <t>Active</t>
        </is>
      </c>
      <c r="O13" s="3" t="inlineStr"/>
    </row>
    <row r="14">
      <c r="A14" s="2" t="inlineStr">
        <is>
          <t>John McCarthy</t>
        </is>
      </c>
      <c r="B14" s="2" t="inlineStr">
        <is>
          <t>North</t>
        </is>
      </c>
      <c r="C14" s="2" t="inlineStr">
        <is>
          <t>Platform</t>
        </is>
      </c>
      <c r="D14" s="2" t="n">
        <v>60000</v>
      </c>
      <c r="E14" s="2" t="n">
        <v>55000</v>
      </c>
      <c r="F14" s="2" t="n">
        <v>63000</v>
      </c>
      <c r="G14" s="2" t="n">
        <v>58000</v>
      </c>
      <c r="H14" s="2" t="n">
        <v>66000</v>
      </c>
      <c r="I14" s="2" t="n">
        <v>52000</v>
      </c>
      <c r="J14" s="2">
        <f>E14+G14+I14</f>
        <v/>
      </c>
      <c r="K14" s="2" t="n">
        <v>0.07000000000000001</v>
      </c>
      <c r="L14" s="2">
        <f>J14*K14</f>
        <v/>
      </c>
      <c r="M14" s="2">
        <f>(E14+G14+I14)/(D14+F14+H14)</f>
        <v/>
      </c>
      <c r="N14" s="2" t="inlineStr">
        <is>
          <t>At Risk</t>
        </is>
      </c>
      <c r="O14" s="2" t="inlineStr">
        <is>
          <t>Trending down Q1→Q3</t>
        </is>
      </c>
    </row>
    <row r="15">
      <c r="A15" s="3" t="inlineStr">
        <is>
          <t>Donald Knuth</t>
        </is>
      </c>
      <c r="B15" s="3" t="inlineStr">
        <is>
          <t>West</t>
        </is>
      </c>
      <c r="C15" s="3" t="inlineStr">
        <is>
          <t>SMB</t>
        </is>
      </c>
      <c r="D15" s="3" t="n">
        <v>44000</v>
      </c>
      <c r="E15" s="3" t="n">
        <v>46000</v>
      </c>
      <c r="F15" s="3" t="n">
        <v>46000</v>
      </c>
      <c r="G15" s="3" t="n">
        <v>45000</v>
      </c>
      <c r="H15" s="3" t="n">
        <v>48000</v>
      </c>
      <c r="I15" s="3" t="n">
        <v>47000</v>
      </c>
      <c r="J15" s="3">
        <f>E15+G15+I15</f>
        <v/>
      </c>
      <c r="K15" s="3" t="n">
        <v>0.06</v>
      </c>
      <c r="L15" s="3">
        <f>J15*K15</f>
        <v/>
      </c>
      <c r="M15" s="3">
        <f>(E15+G15+I15)/(D15+F15+H15)</f>
        <v/>
      </c>
      <c r="N15" s="3" t="inlineStr">
        <is>
          <t>Active</t>
        </is>
      </c>
      <c r="O15" s="3" t="inlineStr"/>
    </row>
    <row r="16">
      <c r="A16" s="2" t="inlineStr">
        <is>
          <t>Claude Shannon</t>
        </is>
      </c>
      <c r="B16" s="2" t="inlineStr">
        <is>
          <t>East</t>
        </is>
      </c>
      <c r="C16" s="2" t="inlineStr">
        <is>
          <t>Enterprise</t>
        </is>
      </c>
      <c r="D16" s="2" t="n">
        <v>82000</v>
      </c>
      <c r="E16" s="2" t="n">
        <v>79000</v>
      </c>
      <c r="F16" s="2" t="n">
        <v>86000</v>
      </c>
      <c r="G16" s="2" t="n">
        <v>88000</v>
      </c>
      <c r="H16" s="2" t="n">
        <v>90000</v>
      </c>
      <c r="I16" s="2" t="n">
        <v>91000</v>
      </c>
      <c r="J16" s="2">
        <f>E16+G16+I16</f>
        <v/>
      </c>
      <c r="K16" s="2" t="n">
        <v>0.08</v>
      </c>
      <c r="L16" s="2">
        <f>J16*K16</f>
        <v/>
      </c>
      <c r="M16" s="2">
        <f>(E16+G16+I16)/(D16+F16+H16)</f>
        <v/>
      </c>
      <c r="N16" s="2" t="inlineStr">
        <is>
          <t>Active</t>
        </is>
      </c>
      <c r="O16" s="2" t="inlineStr"/>
    </row>
    <row r="17">
      <c r="A17" s="3" t="inlineStr">
        <is>
          <t>Edsger Dijkstra</t>
        </is>
      </c>
      <c r="B17" s="3" t="inlineStr">
        <is>
          <t>South</t>
        </is>
      </c>
      <c r="C17" s="3" t="inlineStr">
        <is>
          <t>Platform</t>
        </is>
      </c>
      <c r="D17" s="3" t="n">
        <v>66000</v>
      </c>
      <c r="E17" s="3" t="n">
        <v>68000</v>
      </c>
      <c r="F17" s="3" t="n">
        <v>70000</v>
      </c>
      <c r="G17" s="3" t="n">
        <v>67000</v>
      </c>
      <c r="H17" s="3" t="n">
        <v>74000</v>
      </c>
      <c r="I17" s="3" t="n">
        <v>72000</v>
      </c>
      <c r="J17" s="3">
        <f>E17+G17+I17</f>
        <v/>
      </c>
      <c r="K17" s="3" t="n">
        <v>0.07000000000000001</v>
      </c>
      <c r="L17" s="3">
        <f>J17*K17</f>
        <v/>
      </c>
      <c r="M17" s="3">
        <f>(E17+G17+I17)/(D17+F17+H17)</f>
        <v/>
      </c>
      <c r="N17" s="3" t="inlineStr">
        <is>
          <t>Active</t>
        </is>
      </c>
      <c r="O17" s="3" t="inlineStr"/>
    </row>
    <row r="18">
      <c r="A18" s="2" t="inlineStr">
        <is>
          <t>Frances Allen</t>
        </is>
      </c>
      <c r="B18" s="2" t="inlineStr">
        <is>
          <t>North</t>
        </is>
      </c>
      <c r="C18" s="2" t="inlineStr">
        <is>
          <t>Enterprise</t>
        </is>
      </c>
      <c r="D18" s="2" t="n">
        <v>84000</v>
      </c>
      <c r="E18" s="2" t="n">
        <v>82000</v>
      </c>
      <c r="F18" s="2" t="n">
        <v>88000</v>
      </c>
      <c r="G18" s="2" t="n">
        <v>86000</v>
      </c>
      <c r="H18" s="2" t="n">
        <v>92000</v>
      </c>
      <c r="I18" s="2" t="n">
        <v>89000</v>
      </c>
      <c r="J18" s="2">
        <f>E18+G18+I18</f>
        <v/>
      </c>
      <c r="K18" s="2" t="n">
        <v>0.08</v>
      </c>
      <c r="L18" s="2">
        <f>J18*K18</f>
        <v/>
      </c>
      <c r="M18" s="2">
        <f>(E18+G18+I18)/(D18+F18+H18)</f>
        <v/>
      </c>
      <c r="N18" s="2" t="inlineStr">
        <is>
          <t>Active</t>
        </is>
      </c>
      <c r="O18" s="2" t="inlineStr"/>
    </row>
    <row r="19">
      <c r="A19" s="3" t="inlineStr">
        <is>
          <t>Ivan Sutherland</t>
        </is>
      </c>
      <c r="B19" s="3" t="inlineStr">
        <is>
          <t>West</t>
        </is>
      </c>
      <c r="C19" s="3" t="inlineStr">
        <is>
          <t>SMB</t>
        </is>
      </c>
      <c r="D19" s="3" t="n">
        <v>40000</v>
      </c>
      <c r="E19" s="3" t="n">
        <v>38000</v>
      </c>
      <c r="F19" s="3" t="n">
        <v>42000</v>
      </c>
      <c r="G19" s="3" t="n">
        <v>35000</v>
      </c>
      <c r="H19" s="3" t="n">
        <v>44000</v>
      </c>
      <c r="I19" s="3" t="n">
        <v>28000</v>
      </c>
      <c r="J19" s="3">
        <f>E19+G19+I19</f>
        <v/>
      </c>
      <c r="K19" s="3" t="n">
        <v>0.06</v>
      </c>
      <c r="L19" s="3">
        <f>J19*K19</f>
        <v/>
      </c>
      <c r="M19" s="3">
        <f>(E19+G19+I19)/(D19+F19+H19)</f>
        <v/>
      </c>
      <c r="N19" s="3" t="inlineStr">
        <is>
          <t>Under Review</t>
        </is>
      </c>
      <c r="O19" s="3" t="inlineStr">
        <is>
          <t>Below threshold 2 of 3 qtrs</t>
        </is>
      </c>
    </row>
    <row r="20">
      <c r="A20" s="2" t="inlineStr">
        <is>
          <t>James Gosling</t>
        </is>
      </c>
      <c r="B20" s="2" t="inlineStr">
        <is>
          <t>East</t>
        </is>
      </c>
      <c r="C20" s="2" t="inlineStr">
        <is>
          <t>Platform</t>
        </is>
      </c>
      <c r="D20" s="2" t="n">
        <v>62000</v>
      </c>
      <c r="E20" s="2" t="n">
        <v>64000</v>
      </c>
      <c r="F20" s="2" t="n">
        <v>65000</v>
      </c>
      <c r="G20" s="2" t="n">
        <v>66000</v>
      </c>
      <c r="H20" s="2" t="n">
        <v>68000</v>
      </c>
      <c r="I20" s="2" t="n">
        <v>70000</v>
      </c>
      <c r="J20" s="2">
        <f>E20+G20+I20</f>
        <v/>
      </c>
      <c r="K20" s="2" t="n">
        <v>0.07000000000000001</v>
      </c>
      <c r="L20" s="2">
        <f>J20*K20</f>
        <v/>
      </c>
      <c r="M20" s="2">
        <f>(E20+G20+I20)/(D20+F20+H20)</f>
        <v/>
      </c>
      <c r="N20" s="2" t="inlineStr">
        <is>
          <t>Active</t>
        </is>
      </c>
      <c r="O20" s="2" t="inlineStr"/>
    </row>
    <row r="21">
      <c r="A21" s="3" t="inlineStr">
        <is>
          <t>Niklaus Wirth</t>
        </is>
      </c>
      <c r="B21" s="3" t="inlineStr">
        <is>
          <t>South</t>
        </is>
      </c>
      <c r="C21" s="3" t="inlineStr">
        <is>
          <t>Enterprise</t>
        </is>
      </c>
      <c r="D21" s="3" t="n">
        <v>76000</v>
      </c>
      <c r="E21" s="3" t="n">
        <v>74000</v>
      </c>
      <c r="F21" s="3" t="n">
        <v>80000</v>
      </c>
      <c r="G21" s="3" t="n">
        <v>82000</v>
      </c>
      <c r="H21" s="3" t="n">
        <v>84000</v>
      </c>
      <c r="I21" s="3" t="n">
        <v>85000</v>
      </c>
      <c r="J21" s="3">
        <f>E21+G21+I21</f>
        <v/>
      </c>
      <c r="K21" s="3" t="n">
        <v>0.08</v>
      </c>
      <c r="L21" s="3">
        <f>J21*K21</f>
        <v/>
      </c>
      <c r="M21" s="3">
        <f>(E21+G21+I21)/(D21+F21+H21)</f>
        <v/>
      </c>
      <c r="N21" s="3" t="inlineStr">
        <is>
          <t>Active</t>
        </is>
      </c>
      <c r="O21" s="3" t="inlineStr"/>
    </row>
    <row r="22">
      <c r="A22" s="2" t="inlineStr">
        <is>
          <t>Patricia Selinger</t>
        </is>
      </c>
      <c r="B22" s="2" t="inlineStr">
        <is>
          <t>North</t>
        </is>
      </c>
      <c r="C22" s="2" t="inlineStr">
        <is>
          <t>SMB</t>
        </is>
      </c>
      <c r="D22" s="2" t="n">
        <v>46000</v>
      </c>
      <c r="E22" s="2" t="n">
        <v>48000</v>
      </c>
      <c r="F22" s="2" t="n">
        <v>49000</v>
      </c>
      <c r="G22" s="2" t="n">
        <v>50000</v>
      </c>
      <c r="H22" s="2" t="n">
        <v>52000</v>
      </c>
      <c r="I22" s="2" t="n">
        <v>51000</v>
      </c>
      <c r="J22" s="2">
        <f>E22+G22+I22</f>
        <v/>
      </c>
      <c r="K22" s="2" t="n">
        <v>0.06</v>
      </c>
      <c r="L22" s="2">
        <f>J22*K22</f>
        <v/>
      </c>
      <c r="M22" s="2">
        <f>(E22+G22+I22)/(D22+F22+H22)</f>
        <v/>
      </c>
      <c r="N22" s="2" t="inlineStr">
        <is>
          <t>Active</t>
        </is>
      </c>
      <c r="O22" s="2" t="inlineStr"/>
    </row>
    <row r="23">
      <c r="A23" s="3" t="inlineStr">
        <is>
          <t>Richard Stallman</t>
        </is>
      </c>
      <c r="B23" s="3" t="inlineStr">
        <is>
          <t>West</t>
        </is>
      </c>
      <c r="C23" s="3" t="inlineStr">
        <is>
          <t>Platform</t>
        </is>
      </c>
      <c r="D23" s="3" t="n">
        <v>58000</v>
      </c>
      <c r="E23" s="3" t="n">
        <v>42000</v>
      </c>
      <c r="F23" s="3" t="n">
        <v>61000</v>
      </c>
      <c r="G23" s="3" t="n">
        <v>38000</v>
      </c>
      <c r="H23" s="3" t="n">
        <v>64000</v>
      </c>
      <c r="I23" s="3" t="n">
        <v>31000</v>
      </c>
      <c r="J23" s="3">
        <f>E23+G23+I23</f>
        <v/>
      </c>
      <c r="K23" s="3" t="n">
        <v>0.07000000000000001</v>
      </c>
      <c r="L23" s="3">
        <f>J23*K23</f>
        <v/>
      </c>
      <c r="M23" s="3">
        <f>(E23+G23+I23)/(D23+F23+H23)</f>
        <v/>
      </c>
      <c r="N23" s="3" t="inlineStr">
        <is>
          <t>Under Review</t>
        </is>
      </c>
      <c r="O23" s="3" t="inlineStr">
        <is>
          <t>Chronic underperformance</t>
        </is>
      </c>
    </row>
    <row r="24">
      <c r="A24" s="2" t="inlineStr">
        <is>
          <t>Shafi Goldwasser</t>
        </is>
      </c>
      <c r="B24" s="2" t="inlineStr">
        <is>
          <t>East</t>
        </is>
      </c>
      <c r="C24" s="2" t="inlineStr">
        <is>
          <t>Enterprise</t>
        </is>
      </c>
      <c r="D24" s="2" t="n">
        <v>80000</v>
      </c>
      <c r="E24" s="2" t="n">
        <v>83000</v>
      </c>
      <c r="F24" s="2" t="n">
        <v>84000</v>
      </c>
      <c r="G24" s="2" t="n">
        <v>87000</v>
      </c>
      <c r="H24" s="2" t="n">
        <v>88000</v>
      </c>
      <c r="I24" s="2" t="n">
        <v>90000</v>
      </c>
      <c r="J24" s="2">
        <f>E24+G24+I24</f>
        <v/>
      </c>
      <c r="K24" s="2" t="n">
        <v>0.08</v>
      </c>
      <c r="L24" s="2">
        <f>J24*K24</f>
        <v/>
      </c>
      <c r="M24" s="2">
        <f>(E24+G24+I24)/(D24+F24+H24)</f>
        <v/>
      </c>
      <c r="N24" s="2" t="inlineStr">
        <is>
          <t>Active</t>
        </is>
      </c>
      <c r="O24" s="2" t="inlineStr"/>
    </row>
    <row r="25">
      <c r="A25" s="3" t="inlineStr">
        <is>
          <t>Tony Hoare</t>
        </is>
      </c>
      <c r="B25" s="3" t="inlineStr">
        <is>
          <t>South</t>
        </is>
      </c>
      <c r="C25" s="3" t="inlineStr">
        <is>
          <t>SMB</t>
        </is>
      </c>
      <c r="D25" s="3" t="n">
        <v>44000</v>
      </c>
      <c r="E25" s="3" t="n">
        <v>44000</v>
      </c>
      <c r="F25" s="3" t="n">
        <v>47000</v>
      </c>
      <c r="G25" s="3" t="n">
        <v>46000</v>
      </c>
      <c r="H25" s="3" t="n">
        <v>50000</v>
      </c>
      <c r="I25" s="3" t="n">
        <v>49000</v>
      </c>
      <c r="J25" s="3">
        <f>E25+G25+I25</f>
        <v/>
      </c>
      <c r="K25" s="3" t="n">
        <v>0.06</v>
      </c>
      <c r="L25" s="3">
        <f>J25*K25</f>
        <v/>
      </c>
      <c r="M25" s="3">
        <f>(E25+G25+I25)/(D25+F25+H25)</f>
        <v/>
      </c>
      <c r="N25" s="3" t="inlineStr">
        <is>
          <t>Active</t>
        </is>
      </c>
      <c r="O25" s="3" t="inlineStr"/>
    </row>
    <row r="26">
      <c r="A26" s="2" t="inlineStr">
        <is>
          <t>Yoshua Bengio</t>
        </is>
      </c>
      <c r="B26" s="2" t="inlineStr">
        <is>
          <t>North</t>
        </is>
      </c>
      <c r="C26" s="2" t="inlineStr">
        <is>
          <t>Platform</t>
        </is>
      </c>
      <c r="D26" s="2" t="n">
        <v>72000</v>
      </c>
      <c r="E26" s="2" t="n">
        <v>74000</v>
      </c>
      <c r="F26" s="2" t="n">
        <v>76000</v>
      </c>
      <c r="G26" s="2" t="n">
        <v>75000</v>
      </c>
      <c r="H26" s="2" t="n">
        <v>80000</v>
      </c>
      <c r="I26" s="2" t="n">
        <v>79000</v>
      </c>
      <c r="J26" s="2">
        <f>E26+G26+I26</f>
        <v/>
      </c>
      <c r="K26" s="2" t="n">
        <v>0.07000000000000001</v>
      </c>
      <c r="L26" s="2">
        <f>J26*K26</f>
        <v/>
      </c>
      <c r="M26" s="2">
        <f>(E26+G26+I26)/(D26+F26+H26)</f>
        <v/>
      </c>
      <c r="N26" s="2" t="inlineStr">
        <is>
          <t>Active</t>
        </is>
      </c>
      <c r="O26" s="2" t="inlineStr"/>
    </row>
    <row r="27">
      <c r="A27" s="4" t="inlineStr">
        <is>
          <t>TOTALS</t>
        </is>
      </c>
      <c r="D27">
        <f>SUM(D2:D26)</f>
        <v/>
      </c>
      <c r="E27">
        <f>SUM(E2:E26)</f>
        <v/>
      </c>
      <c r="F27">
        <f>SUM(F2:F26)</f>
        <v/>
      </c>
      <c r="G27">
        <f>SUM(G2:G26)</f>
        <v/>
      </c>
      <c r="H27">
        <f>SUM(H2:H26)</f>
        <v/>
      </c>
      <c r="I27">
        <f>SUM(I2:I26)</f>
        <v/>
      </c>
      <c r="J27">
        <f>SUM(J2:J26)</f>
        <v/>
      </c>
      <c r="L27">
        <f>SUM(L2:L26)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5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7" customWidth="1" min="10" max="10"/>
    <col width="12" customWidth="1" min="11" max="11"/>
    <col width="14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27" customWidth="1" min="19" max="19"/>
    <col width="12" customWidth="1" min="20" max="20"/>
    <col width="14" customWidth="1" min="21" max="21"/>
    <col width="16" customWidth="1" min="22" max="22"/>
    <col width="16" customWidth="1" min="23" max="23"/>
    <col width="14" customWidth="1" min="24" max="24"/>
    <col width="14" customWidth="1" min="25" max="25"/>
    <col width="30" customWidth="1" min="26" max="26"/>
  </cols>
  <sheetData>
    <row r="1">
      <c r="A1" s="1" t="inlineStr">
        <is>
          <t>Month</t>
        </is>
      </c>
      <c r="B1" s="1" t="inlineStr">
        <is>
          <t>Department</t>
        </is>
      </c>
      <c r="C1" s="1" t="inlineStr">
        <is>
          <t>Category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H1_Actual</t>
        </is>
      </c>
      <c r="K1" s="1" t="inlineStr">
        <is>
          <t>H1_Budget</t>
        </is>
      </c>
      <c r="L1" s="1" t="inlineStr">
        <is>
          <t>Variance_H1</t>
        </is>
      </c>
      <c r="M1" s="1" t="inlineStr">
        <is>
          <t>Jul</t>
        </is>
      </c>
      <c r="N1" s="1" t="inlineStr">
        <is>
          <t>Aug</t>
        </is>
      </c>
      <c r="O1" s="1" t="inlineStr">
        <is>
          <t>Sep</t>
        </is>
      </c>
      <c r="P1" s="1" t="inlineStr">
        <is>
          <t>Oct</t>
        </is>
      </c>
      <c r="Q1" s="1" t="inlineStr">
        <is>
          <t>Nov</t>
        </is>
      </c>
      <c r="R1" s="1" t="inlineStr">
        <is>
          <t>Dec</t>
        </is>
      </c>
      <c r="S1" s="1" t="inlineStr">
        <is>
          <t>H2_Actual</t>
        </is>
      </c>
      <c r="T1" s="1" t="inlineStr">
        <is>
          <t>H2_Budget</t>
        </is>
      </c>
      <c r="U1" s="1" t="inlineStr">
        <is>
          <t>Variance_H2</t>
        </is>
      </c>
      <c r="V1" s="1" t="inlineStr">
        <is>
          <t>Annual_Budget</t>
        </is>
      </c>
      <c r="W1" s="1" t="inlineStr">
        <is>
          <t>Annual_Actual</t>
        </is>
      </c>
      <c r="X1" s="1" t="inlineStr">
        <is>
          <t>Over_Budget</t>
        </is>
      </c>
      <c r="Y1" s="1" t="inlineStr">
        <is>
          <t>Approved_By</t>
        </is>
      </c>
      <c r="Z1" s="1" t="inlineStr">
        <is>
          <t>Notes</t>
        </is>
      </c>
    </row>
    <row r="2">
      <c r="A2" s="2" t="inlineStr">
        <is>
          <t>2025</t>
        </is>
      </c>
      <c r="B2" s="2" t="inlineStr">
        <is>
          <t>Engineering</t>
        </is>
      </c>
      <c r="C2" s="2" t="inlineStr">
        <is>
          <t>Salaries</t>
        </is>
      </c>
      <c r="D2" s="2" t="n">
        <v>420000</v>
      </c>
      <c r="E2" s="2" t="n">
        <v>410000</v>
      </c>
      <c r="F2" s="2" t="n">
        <v>415000</v>
      </c>
      <c r="G2" s="2" t="n">
        <v>418000</v>
      </c>
      <c r="H2" s="2" t="n">
        <v>422000</v>
      </c>
      <c r="I2" s="2" t="n">
        <v>425000</v>
      </c>
      <c r="J2" s="2">
        <f>D2+E2+F2+G2+H2+I2</f>
        <v/>
      </c>
      <c r="K2" s="2" t="n"/>
      <c r="L2" s="2">
        <f>J2-K2</f>
        <v/>
      </c>
      <c r="M2" s="2" t="n">
        <v>428000</v>
      </c>
      <c r="N2" s="2" t="n">
        <v>430000</v>
      </c>
      <c r="O2" s="2" t="n">
        <v>432000</v>
      </c>
      <c r="P2" s="2" t="n">
        <v>435000</v>
      </c>
      <c r="Q2" s="2" t="n">
        <v>438000</v>
      </c>
      <c r="R2" s="2" t="n">
        <v>440000</v>
      </c>
      <c r="S2" s="2">
        <f>M2+N2+O2+P2+Q2+R2</f>
        <v/>
      </c>
      <c r="T2" s="2" t="n"/>
      <c r="U2" s="2">
        <f>S2-T2</f>
        <v/>
      </c>
      <c r="V2" s="2" t="n">
        <v>5100000</v>
      </c>
      <c r="W2" s="2">
        <f>J2+S2</f>
        <v/>
      </c>
      <c r="X2" s="2">
        <f>W2&gt;V2</f>
        <v/>
      </c>
      <c r="Y2" s="2" t="inlineStr">
        <is>
          <t>CTO</t>
        </is>
      </c>
      <c r="Z2" s="2" t="inlineStr"/>
    </row>
    <row r="3">
      <c r="A3" s="3" t="inlineStr">
        <is>
          <t>2025</t>
        </is>
      </c>
      <c r="B3" s="3" t="inlineStr">
        <is>
          <t>Engineering</t>
        </is>
      </c>
      <c r="C3" s="3" t="inlineStr">
        <is>
          <t>Cloud Infra</t>
        </is>
      </c>
      <c r="D3" s="3" t="n">
        <v>38000</v>
      </c>
      <c r="E3" s="3" t="n">
        <v>42000</v>
      </c>
      <c r="F3" s="3" t="n">
        <v>45000</v>
      </c>
      <c r="G3" s="3" t="n">
        <v>48000</v>
      </c>
      <c r="H3" s="3" t="n">
        <v>51000</v>
      </c>
      <c r="I3" s="3" t="n">
        <v>53000</v>
      </c>
      <c r="J3" s="3">
        <f>D3+E3+F3+G3+H3+I3</f>
        <v/>
      </c>
      <c r="K3" s="3" t="n"/>
      <c r="L3" s="3">
        <f>J3-K3</f>
        <v/>
      </c>
      <c r="M3" s="3" t="n">
        <v>55000</v>
      </c>
      <c r="N3" s="3" t="n">
        <v>57000</v>
      </c>
      <c r="O3" s="3" t="n">
        <v>60000</v>
      </c>
      <c r="P3" s="3" t="n">
        <v>62000</v>
      </c>
      <c r="Q3" s="3" t="n">
        <v>65000</v>
      </c>
      <c r="R3" s="3" t="n">
        <v>68000</v>
      </c>
      <c r="S3" s="3">
        <f>M3+N3+O3+P3+Q3+R3</f>
        <v/>
      </c>
      <c r="T3" s="3" t="n"/>
      <c r="U3" s="3">
        <f>S3-T3</f>
        <v/>
      </c>
      <c r="V3" s="3" t="n">
        <v>580000</v>
      </c>
      <c r="W3" s="3">
        <f>J3+S3</f>
        <v/>
      </c>
      <c r="X3" s="3">
        <f>W3&gt;V3</f>
        <v/>
      </c>
      <c r="Y3" s="3" t="inlineStr">
        <is>
          <t>CTO</t>
        </is>
      </c>
      <c r="Z3" s="3" t="inlineStr">
        <is>
          <t>Usage spike Q2</t>
        </is>
      </c>
    </row>
    <row r="4">
      <c r="A4" s="2" t="inlineStr">
        <is>
          <t>2025</t>
        </is>
      </c>
      <c r="B4" s="2" t="inlineStr">
        <is>
          <t>Engineering</t>
        </is>
      </c>
      <c r="C4" s="2" t="inlineStr">
        <is>
          <t>Tooling</t>
        </is>
      </c>
      <c r="D4" s="2" t="n">
        <v>4500</v>
      </c>
      <c r="E4" s="2" t="n">
        <v>4800</v>
      </c>
      <c r="F4" s="2" t="n">
        <v>5000</v>
      </c>
      <c r="G4" s="2" t="n">
        <v>5200</v>
      </c>
      <c r="H4" s="2" t="n">
        <v>5500</v>
      </c>
      <c r="I4" s="2" t="n">
        <v>5800</v>
      </c>
      <c r="J4" s="2">
        <f>D4+E4+F4+G4+H4+I4</f>
        <v/>
      </c>
      <c r="K4" s="2" t="n"/>
      <c r="L4" s="2">
        <f>J4-K4</f>
        <v/>
      </c>
      <c r="M4" s="2" t="n">
        <v>6000</v>
      </c>
      <c r="N4" s="2" t="n">
        <v>6200</v>
      </c>
      <c r="O4" s="2" t="n">
        <v>6500</v>
      </c>
      <c r="P4" s="2" t="n">
        <v>6800</v>
      </c>
      <c r="Q4" s="2" t="n">
        <v>7000</v>
      </c>
      <c r="R4" s="2" t="n">
        <v>7200</v>
      </c>
      <c r="S4" s="2">
        <f>M4+N4+O4+P4+Q4+R4</f>
        <v/>
      </c>
      <c r="T4" s="2" t="n"/>
      <c r="U4" s="2">
        <f>S4-T4</f>
        <v/>
      </c>
      <c r="V4" s="2" t="n">
        <v>70000</v>
      </c>
      <c r="W4" s="2">
        <f>J4+S4</f>
        <v/>
      </c>
      <c r="X4" s="2">
        <f>W4&gt;V4</f>
        <v/>
      </c>
      <c r="Y4" s="2" t="inlineStr">
        <is>
          <t>CTO</t>
        </is>
      </c>
      <c r="Z4" s="2" t="inlineStr"/>
    </row>
    <row r="5">
      <c r="A5" s="3" t="inlineStr">
        <is>
          <t>2025</t>
        </is>
      </c>
      <c r="B5" s="3" t="inlineStr">
        <is>
          <t>Marketing</t>
        </is>
      </c>
      <c r="C5" s="3" t="inlineStr">
        <is>
          <t>Salaries</t>
        </is>
      </c>
      <c r="D5" s="3" t="n">
        <v>180000</v>
      </c>
      <c r="E5" s="3" t="n">
        <v>182000</v>
      </c>
      <c r="F5" s="3" t="n">
        <v>184000</v>
      </c>
      <c r="G5" s="3" t="n">
        <v>186000</v>
      </c>
      <c r="H5" s="3" t="n">
        <v>188000</v>
      </c>
      <c r="I5" s="3" t="n">
        <v>190000</v>
      </c>
      <c r="J5" s="3">
        <f>D5+E5+F5+G5+H5+I5</f>
        <v/>
      </c>
      <c r="K5" s="3" t="n"/>
      <c r="L5" s="3">
        <f>J5-K5</f>
        <v/>
      </c>
      <c r="M5" s="3" t="n">
        <v>192000</v>
      </c>
      <c r="N5" s="3" t="n">
        <v>194000</v>
      </c>
      <c r="O5" s="3" t="n">
        <v>196000</v>
      </c>
      <c r="P5" s="3" t="n">
        <v>198000</v>
      </c>
      <c r="Q5" s="3" t="n">
        <v>200000</v>
      </c>
      <c r="R5" s="3" t="n">
        <v>202000</v>
      </c>
      <c r="S5" s="3">
        <f>M5+N5+O5+P5+Q5+R5</f>
        <v/>
      </c>
      <c r="T5" s="3" t="n"/>
      <c r="U5" s="3">
        <f>S5-T5</f>
        <v/>
      </c>
      <c r="V5" s="3" t="n">
        <v>2292000</v>
      </c>
      <c r="W5" s="3">
        <f>J5+S5</f>
        <v/>
      </c>
      <c r="X5" s="3">
        <f>W5&gt;V5</f>
        <v/>
      </c>
      <c r="Y5" s="3" t="inlineStr">
        <is>
          <t>CMO</t>
        </is>
      </c>
      <c r="Z5" s="3" t="inlineStr"/>
    </row>
    <row r="6">
      <c r="A6" s="2" t="inlineStr">
        <is>
          <t>2025</t>
        </is>
      </c>
      <c r="B6" s="2" t="inlineStr">
        <is>
          <t>Marketing</t>
        </is>
      </c>
      <c r="C6" s="2" t="inlineStr">
        <is>
          <t>Campaigns</t>
        </is>
      </c>
      <c r="D6" s="2" t="n">
        <v>25000</v>
      </c>
      <c r="E6" s="2" t="n">
        <v>28000</v>
      </c>
      <c r="F6" s="2" t="n">
        <v>35000</v>
      </c>
      <c r="G6" s="2" t="n">
        <v>42000</v>
      </c>
      <c r="H6" s="2" t="n">
        <v>55000</v>
      </c>
      <c r="I6" s="2" t="n">
        <v>70000</v>
      </c>
      <c r="J6" s="2">
        <f>D6+E6+F6+G6+H6+I6</f>
        <v/>
      </c>
      <c r="K6" s="2" t="n"/>
      <c r="L6" s="2">
        <f>J6-K6</f>
        <v/>
      </c>
      <c r="M6" s="2" t="n">
        <v>30000</v>
      </c>
      <c r="N6" s="2" t="n">
        <v>28000</v>
      </c>
      <c r="O6" s="2" t="n">
        <v>85000</v>
      </c>
      <c r="P6" s="2" t="n">
        <v>90000</v>
      </c>
      <c r="Q6" s="2" t="n">
        <v>110000</v>
      </c>
      <c r="R6" s="2" t="n">
        <v>130000</v>
      </c>
      <c r="S6" s="2">
        <f>M6+N6+O6+P6+Q6+R6</f>
        <v/>
      </c>
      <c r="T6" s="2" t="n"/>
      <c r="U6" s="2">
        <f>S6-T6</f>
        <v/>
      </c>
      <c r="V6" s="2" t="n">
        <v>728000</v>
      </c>
      <c r="W6" s="2">
        <f>J6+S6</f>
        <v/>
      </c>
      <c r="X6" s="2">
        <f>W6&gt;V6</f>
        <v/>
      </c>
      <c r="Y6" s="2" t="inlineStr">
        <is>
          <t>CMO</t>
        </is>
      </c>
      <c r="Z6" s="2" t="inlineStr">
        <is>
          <t>Q4 push budget exceeded</t>
        </is>
      </c>
    </row>
    <row r="7">
      <c r="A7" s="3" t="inlineStr">
        <is>
          <t>2025</t>
        </is>
      </c>
      <c r="B7" s="3" t="inlineStr">
        <is>
          <t>Marketing</t>
        </is>
      </c>
      <c r="C7" s="3" t="inlineStr">
        <is>
          <t>Events</t>
        </is>
      </c>
      <c r="D7" s="3" t="n">
        <v>8000</v>
      </c>
      <c r="E7" s="3" t="n">
        <v>8000</v>
      </c>
      <c r="F7" s="3" t="n">
        <v>12000</v>
      </c>
      <c r="G7" s="3" t="n">
        <v>8000</v>
      </c>
      <c r="H7" s="3" t="n">
        <v>15000</v>
      </c>
      <c r="I7" s="3" t="n">
        <v>22000</v>
      </c>
      <c r="J7" s="3">
        <f>D7+E7+F7+G7+H7+I7</f>
        <v/>
      </c>
      <c r="K7" s="3" t="n"/>
      <c r="L7" s="3">
        <f>J7-K7</f>
        <v/>
      </c>
      <c r="M7" s="3" t="n">
        <v>8000</v>
      </c>
      <c r="N7" s="3" t="n">
        <v>8000</v>
      </c>
      <c r="O7" s="3" t="n">
        <v>18000</v>
      </c>
      <c r="P7" s="3" t="n">
        <v>8000</v>
      </c>
      <c r="Q7" s="3" t="n">
        <v>20000</v>
      </c>
      <c r="R7" s="3" t="n">
        <v>35000</v>
      </c>
      <c r="S7" s="3">
        <f>M7+N7+O7+P7+Q7+R7</f>
        <v/>
      </c>
      <c r="T7" s="3" t="n"/>
      <c r="U7" s="3">
        <f>S7-T7</f>
        <v/>
      </c>
      <c r="V7" s="3" t="n">
        <v>170000</v>
      </c>
      <c r="W7" s="3">
        <f>J7+S7</f>
        <v/>
      </c>
      <c r="X7" s="3">
        <f>W7&gt;V7</f>
        <v/>
      </c>
      <c r="Y7" s="3" t="inlineStr">
        <is>
          <t>CMO</t>
        </is>
      </c>
      <c r="Z7" s="3" t="inlineStr"/>
    </row>
    <row r="8">
      <c r="A8" s="2" t="inlineStr">
        <is>
          <t>2025</t>
        </is>
      </c>
      <c r="B8" s="2" t="inlineStr">
        <is>
          <t>Operations</t>
        </is>
      </c>
      <c r="C8" s="2" t="inlineStr">
        <is>
          <t>Salaries</t>
        </is>
      </c>
      <c r="D8" s="2" t="n">
        <v>150000</v>
      </c>
      <c r="E8" s="2" t="n">
        <v>151000</v>
      </c>
      <c r="F8" s="2" t="n">
        <v>152000</v>
      </c>
      <c r="G8" s="2" t="n">
        <v>153000</v>
      </c>
      <c r="H8" s="2" t="n">
        <v>154000</v>
      </c>
      <c r="I8" s="2" t="n">
        <v>155000</v>
      </c>
      <c r="J8" s="2">
        <f>D8+E8+F8+G8+H8+I8</f>
        <v/>
      </c>
      <c r="K8" s="2" t="n"/>
      <c r="L8" s="2">
        <f>J8-K8</f>
        <v/>
      </c>
      <c r="M8" s="2" t="n">
        <v>156000</v>
      </c>
      <c r="N8" s="2" t="n">
        <v>157000</v>
      </c>
      <c r="O8" s="2" t="n">
        <v>158000</v>
      </c>
      <c r="P8" s="2" t="n">
        <v>159000</v>
      </c>
      <c r="Q8" s="2" t="n">
        <v>160000</v>
      </c>
      <c r="R8" s="2" t="n">
        <v>161000</v>
      </c>
      <c r="S8" s="2">
        <f>M8+N8+O8+P8+Q8+R8</f>
        <v/>
      </c>
      <c r="T8" s="2" t="n"/>
      <c r="U8" s="2">
        <f>S8-T8</f>
        <v/>
      </c>
      <c r="V8" s="2" t="n">
        <v>1866000</v>
      </c>
      <c r="W8" s="2">
        <f>J8+S8</f>
        <v/>
      </c>
      <c r="X8" s="2">
        <f>W8&gt;V8</f>
        <v/>
      </c>
      <c r="Y8" s="2" t="inlineStr">
        <is>
          <t>COO</t>
        </is>
      </c>
      <c r="Z8" s="2" t="inlineStr"/>
    </row>
    <row r="9">
      <c r="A9" s="3" t="inlineStr">
        <is>
          <t>2025</t>
        </is>
      </c>
      <c r="B9" s="3" t="inlineStr">
        <is>
          <t>Operations</t>
        </is>
      </c>
      <c r="C9" s="3" t="inlineStr">
        <is>
          <t>Facilities</t>
        </is>
      </c>
      <c r="D9" s="3" t="n">
        <v>28000</v>
      </c>
      <c r="E9" s="3" t="n">
        <v>28000</v>
      </c>
      <c r="F9" s="3" t="n">
        <v>28000</v>
      </c>
      <c r="G9" s="3" t="n">
        <v>28000</v>
      </c>
      <c r="H9" s="3" t="n">
        <v>28000</v>
      </c>
      <c r="I9" s="3" t="n">
        <v>28000</v>
      </c>
      <c r="J9" s="3">
        <f>D9+E9+F9+G9+H9+I9</f>
        <v/>
      </c>
      <c r="K9" s="3" t="n"/>
      <c r="L9" s="3">
        <f>J9-K9</f>
        <v/>
      </c>
      <c r="M9" s="3" t="n">
        <v>28000</v>
      </c>
      <c r="N9" s="3" t="n">
        <v>28000</v>
      </c>
      <c r="O9" s="3" t="n">
        <v>28000</v>
      </c>
      <c r="P9" s="3" t="n">
        <v>28000</v>
      </c>
      <c r="Q9" s="3" t="n">
        <v>28000</v>
      </c>
      <c r="R9" s="3" t="n">
        <v>28000</v>
      </c>
      <c r="S9" s="3">
        <f>M9+N9+O9+P9+Q9+R9</f>
        <v/>
      </c>
      <c r="T9" s="3" t="n"/>
      <c r="U9" s="3">
        <f>S9-T9</f>
        <v/>
      </c>
      <c r="V9" s="3" t="n">
        <v>336000</v>
      </c>
      <c r="W9" s="3">
        <f>J9+S9</f>
        <v/>
      </c>
      <c r="X9" s="3">
        <f>W9&gt;V9</f>
        <v/>
      </c>
      <c r="Y9" s="3" t="inlineStr">
        <is>
          <t>COO</t>
        </is>
      </c>
      <c r="Z9" s="3" t="inlineStr">
        <is>
          <t>Fixed lease</t>
        </is>
      </c>
    </row>
    <row r="10">
      <c r="A10" s="2" t="inlineStr">
        <is>
          <t>2025</t>
        </is>
      </c>
      <c r="B10" s="2" t="inlineStr">
        <is>
          <t>Operations</t>
        </is>
      </c>
      <c r="C10" s="2" t="inlineStr">
        <is>
          <t>Logistics</t>
        </is>
      </c>
      <c r="D10" s="2" t="n">
        <v>12000</v>
      </c>
      <c r="E10" s="2" t="n">
        <v>14000</v>
      </c>
      <c r="F10" s="2" t="n">
        <v>13000</v>
      </c>
      <c r="G10" s="2" t="n">
        <v>15000</v>
      </c>
      <c r="H10" s="2" t="n">
        <v>16000</v>
      </c>
      <c r="I10" s="2" t="n">
        <v>18000</v>
      </c>
      <c r="J10" s="2">
        <f>D10+E10+F10+G10+H10+I10</f>
        <v/>
      </c>
      <c r="K10" s="2" t="n"/>
      <c r="L10" s="2">
        <f>J10-K10</f>
        <v/>
      </c>
      <c r="M10" s="2" t="n">
        <v>14000</v>
      </c>
      <c r="N10" s="2" t="n">
        <v>15000</v>
      </c>
      <c r="O10" s="2" t="n">
        <v>20000</v>
      </c>
      <c r="P10" s="2" t="n">
        <v>22000</v>
      </c>
      <c r="Q10" s="2" t="n">
        <v>25000</v>
      </c>
      <c r="R10" s="2" t="n">
        <v>28000</v>
      </c>
      <c r="S10" s="2">
        <f>M10+N10+O10+P10+Q10+R10</f>
        <v/>
      </c>
      <c r="T10" s="2" t="n"/>
      <c r="U10" s="2">
        <f>S10-T10</f>
        <v/>
      </c>
      <c r="V10" s="2" t="n">
        <v>212000</v>
      </c>
      <c r="W10" s="2">
        <f>J10+S10</f>
        <v/>
      </c>
      <c r="X10" s="2">
        <f>W10&gt;V10</f>
        <v/>
      </c>
      <c r="Y10" s="2" t="inlineStr">
        <is>
          <t>COO</t>
        </is>
      </c>
      <c r="Z10" s="2" t="inlineStr"/>
    </row>
    <row r="11">
      <c r="A11" s="3" t="inlineStr">
        <is>
          <t>2025</t>
        </is>
      </c>
      <c r="B11" s="3" t="inlineStr">
        <is>
          <t>Research</t>
        </is>
      </c>
      <c r="C11" s="3" t="inlineStr">
        <is>
          <t>Salaries</t>
        </is>
      </c>
      <c r="D11" s="3" t="n">
        <v>220000</v>
      </c>
      <c r="E11" s="3" t="n">
        <v>222000</v>
      </c>
      <c r="F11" s="3" t="n">
        <v>224000</v>
      </c>
      <c r="G11" s="3" t="n">
        <v>226000</v>
      </c>
      <c r="H11" s="3" t="n">
        <v>228000</v>
      </c>
      <c r="I11" s="3" t="n">
        <v>230000</v>
      </c>
      <c r="J11" s="3">
        <f>D11+E11+F11+G11+H11+I11</f>
        <v/>
      </c>
      <c r="K11" s="3" t="n"/>
      <c r="L11" s="3">
        <f>J11-K11</f>
        <v/>
      </c>
      <c r="M11" s="3" t="n">
        <v>232000</v>
      </c>
      <c r="N11" s="3" t="n">
        <v>234000</v>
      </c>
      <c r="O11" s="3" t="n">
        <v>236000</v>
      </c>
      <c r="P11" s="3" t="n">
        <v>238000</v>
      </c>
      <c r="Q11" s="3" t="n">
        <v>240000</v>
      </c>
      <c r="R11" s="3" t="n">
        <v>242000</v>
      </c>
      <c r="S11" s="3">
        <f>M11+N11+O11+P11+Q11+R11</f>
        <v/>
      </c>
      <c r="T11" s="3" t="n"/>
      <c r="U11" s="3">
        <f>S11-T11</f>
        <v/>
      </c>
      <c r="V11" s="3" t="n">
        <v>2772000</v>
      </c>
      <c r="W11" s="3">
        <f>J11+S11</f>
        <v/>
      </c>
      <c r="X11" s="3">
        <f>W11&gt;V11</f>
        <v/>
      </c>
      <c r="Y11" s="3" t="inlineStr">
        <is>
          <t>CRO</t>
        </is>
      </c>
      <c r="Z11" s="3" t="inlineStr"/>
    </row>
    <row r="12">
      <c r="A12" s="2" t="inlineStr">
        <is>
          <t>2025</t>
        </is>
      </c>
      <c r="B12" s="2" t="inlineStr">
        <is>
          <t>Research</t>
        </is>
      </c>
      <c r="C12" s="2" t="inlineStr">
        <is>
          <t>Lab Equip</t>
        </is>
      </c>
      <c r="D12" s="2" t="n">
        <v>15000</v>
      </c>
      <c r="E12" s="2" t="n">
        <v>8000</v>
      </c>
      <c r="F12" s="2" t="n">
        <v>22000</v>
      </c>
      <c r="G12" s="2" t="n">
        <v>5000</v>
      </c>
      <c r="H12" s="2" t="n">
        <v>42000</v>
      </c>
      <c r="I12" s="2" t="n">
        <v>18000</v>
      </c>
      <c r="J12" s="2">
        <f>D12+E12+F12+G12+H12+I12</f>
        <v/>
      </c>
      <c r="K12" s="2" t="n"/>
      <c r="L12" s="2">
        <f>J12-K12</f>
        <v/>
      </c>
      <c r="M12" s="2" t="n">
        <v>12000</v>
      </c>
      <c r="N12" s="2" t="n">
        <v>5000</v>
      </c>
      <c r="O12" s="2" t="n">
        <v>85000</v>
      </c>
      <c r="P12" s="2" t="n">
        <v>10000</v>
      </c>
      <c r="Q12" s="2" t="n">
        <v>6000</v>
      </c>
      <c r="R12" s="2" t="n">
        <v>28000</v>
      </c>
      <c r="S12" s="2">
        <f>M12+N12+O12+P12+Q12+R12</f>
        <v/>
      </c>
      <c r="T12" s="2" t="n"/>
      <c r="U12" s="2">
        <f>S12-T12</f>
        <v/>
      </c>
      <c r="V12" s="2" t="n">
        <v>256000</v>
      </c>
      <c r="W12" s="2">
        <f>J12+S12</f>
        <v/>
      </c>
      <c r="X12" s="2">
        <f>W12&gt;V12</f>
        <v/>
      </c>
      <c r="Y12" s="2" t="inlineStr">
        <is>
          <t>CRO</t>
        </is>
      </c>
      <c r="Z12" s="2" t="inlineStr">
        <is>
          <t>Major purchase Sep — approved</t>
        </is>
      </c>
    </row>
    <row r="13">
      <c r="A13" s="3" t="inlineStr">
        <is>
          <t>2025</t>
        </is>
      </c>
      <c r="B13" s="3" t="inlineStr">
        <is>
          <t>Research</t>
        </is>
      </c>
      <c r="C13" s="3" t="inlineStr">
        <is>
          <t>Publications</t>
        </is>
      </c>
      <c r="D13" s="3" t="n">
        <v>2000</v>
      </c>
      <c r="E13" s="3" t="n">
        <v>2500</v>
      </c>
      <c r="F13" s="3" t="n">
        <v>3000</v>
      </c>
      <c r="G13" s="3" t="n">
        <v>2000</v>
      </c>
      <c r="H13" s="3" t="n">
        <v>2500</v>
      </c>
      <c r="I13" s="3" t="n">
        <v>3500</v>
      </c>
      <c r="J13" s="3">
        <f>D13+E13+F13+G13+H13+I13</f>
        <v/>
      </c>
      <c r="K13" s="3" t="n"/>
      <c r="L13" s="3">
        <f>J13-K13</f>
        <v/>
      </c>
      <c r="M13" s="3" t="n">
        <v>2000</v>
      </c>
      <c r="N13" s="3" t="n">
        <v>2500</v>
      </c>
      <c r="O13" s="3" t="n">
        <v>4500</v>
      </c>
      <c r="P13" s="3" t="n">
        <v>3000</v>
      </c>
      <c r="Q13" s="3" t="n">
        <v>2500</v>
      </c>
      <c r="R13" s="3" t="n">
        <v>5000</v>
      </c>
      <c r="S13" s="3">
        <f>M13+N13+O13+P13+Q13+R13</f>
        <v/>
      </c>
      <c r="T13" s="3" t="n"/>
      <c r="U13" s="3">
        <f>S13-T13</f>
        <v/>
      </c>
      <c r="V13" s="3" t="n">
        <v>37000</v>
      </c>
      <c r="W13" s="3">
        <f>J13+S13</f>
        <v/>
      </c>
      <c r="X13" s="3">
        <f>W13&gt;V13</f>
        <v/>
      </c>
      <c r="Y13" s="3" t="inlineStr">
        <is>
          <t>CRO</t>
        </is>
      </c>
      <c r="Z13" s="3" t="inlineStr"/>
    </row>
    <row r="14">
      <c r="A14" s="2" t="inlineStr">
        <is>
          <t>2025</t>
        </is>
      </c>
      <c r="B14" s="2" t="inlineStr">
        <is>
          <t>Sales</t>
        </is>
      </c>
      <c r="C14" s="2" t="inlineStr">
        <is>
          <t>Salaries</t>
        </is>
      </c>
      <c r="D14" s="2" t="n">
        <v>310000</v>
      </c>
      <c r="E14" s="2" t="n">
        <v>312000</v>
      </c>
      <c r="F14" s="2" t="n">
        <v>314000</v>
      </c>
      <c r="G14" s="2" t="n">
        <v>316000</v>
      </c>
      <c r="H14" s="2" t="n">
        <v>318000</v>
      </c>
      <c r="I14" s="2" t="n">
        <v>320000</v>
      </c>
      <c r="J14" s="2">
        <f>D14+E14+F14+G14+H14+I14</f>
        <v/>
      </c>
      <c r="K14" s="2" t="n"/>
      <c r="L14" s="2">
        <f>J14-K14</f>
        <v/>
      </c>
      <c r="M14" s="2" t="n">
        <v>322000</v>
      </c>
      <c r="N14" s="2" t="n">
        <v>324000</v>
      </c>
      <c r="O14" s="2" t="n">
        <v>326000</v>
      </c>
      <c r="P14" s="2" t="n">
        <v>328000</v>
      </c>
      <c r="Q14" s="2" t="n">
        <v>330000</v>
      </c>
      <c r="R14" s="2" t="n">
        <v>332000</v>
      </c>
      <c r="S14" s="2">
        <f>M14+N14+O14+P14+Q14+R14</f>
        <v/>
      </c>
      <c r="T14" s="2" t="n"/>
      <c r="U14" s="2">
        <f>S14-T14</f>
        <v/>
      </c>
      <c r="V14" s="2" t="n">
        <v>3852000</v>
      </c>
      <c r="W14" s="2">
        <f>J14+S14</f>
        <v/>
      </c>
      <c r="X14" s="2">
        <f>W14&gt;V14</f>
        <v/>
      </c>
      <c r="Y14" s="2" t="inlineStr">
        <is>
          <t>CRO</t>
        </is>
      </c>
      <c r="Z14" s="2" t="inlineStr"/>
    </row>
    <row r="15">
      <c r="A15" s="3" t="inlineStr">
        <is>
          <t>2025</t>
        </is>
      </c>
      <c r="B15" s="3" t="inlineStr">
        <is>
          <t>Sales</t>
        </is>
      </c>
      <c r="C15" s="3" t="inlineStr">
        <is>
          <t>Travel</t>
        </is>
      </c>
      <c r="D15" s="3" t="n">
        <v>18000</v>
      </c>
      <c r="E15" s="3" t="n">
        <v>22000</v>
      </c>
      <c r="F15" s="3" t="n">
        <v>25000</v>
      </c>
      <c r="G15" s="3" t="n">
        <v>28000</v>
      </c>
      <c r="H15" s="3" t="n">
        <v>32000</v>
      </c>
      <c r="I15" s="3" t="n">
        <v>35000</v>
      </c>
      <c r="J15" s="3">
        <f>D15+E15+F15+G15+H15+I15</f>
        <v/>
      </c>
      <c r="K15" s="3" t="n"/>
      <c r="L15" s="3">
        <f>J15-K15</f>
        <v/>
      </c>
      <c r="M15" s="3" t="n">
        <v>20000</v>
      </c>
      <c r="N15" s="3" t="n">
        <v>24000</v>
      </c>
      <c r="O15" s="3" t="n">
        <v>38000</v>
      </c>
      <c r="P15" s="3" t="n">
        <v>40000</v>
      </c>
      <c r="Q15" s="3" t="n">
        <v>45000</v>
      </c>
      <c r="R15" s="3" t="n">
        <v>55000</v>
      </c>
      <c r="S15" s="3">
        <f>M15+N15+O15+P15+Q15+R15</f>
        <v/>
      </c>
      <c r="T15" s="3" t="n"/>
      <c r="U15" s="3">
        <f>S15-T15</f>
        <v/>
      </c>
      <c r="V15" s="3" t="n">
        <v>382000</v>
      </c>
      <c r="W15" s="3">
        <f>J15+S15</f>
        <v/>
      </c>
      <c r="X15" s="3">
        <f>W15&gt;V15</f>
        <v/>
      </c>
      <c r="Y15" s="3" t="inlineStr">
        <is>
          <t>VP Sales</t>
        </is>
      </c>
      <c r="Z15" s="3" t="inlineStr">
        <is>
          <t>Q4 conferences</t>
        </is>
      </c>
    </row>
    <row r="16">
      <c r="A16" s="2" t="inlineStr">
        <is>
          <t>2025</t>
        </is>
      </c>
      <c r="B16" s="2" t="inlineStr">
        <is>
          <t>Sales</t>
        </is>
      </c>
      <c r="C16" s="2" t="inlineStr">
        <is>
          <t>CRM/Tools</t>
        </is>
      </c>
      <c r="D16" s="2" t="n">
        <v>3500</v>
      </c>
      <c r="E16" s="2" t="n">
        <v>3500</v>
      </c>
      <c r="F16" s="2" t="n">
        <v>3500</v>
      </c>
      <c r="G16" s="2" t="n">
        <v>3500</v>
      </c>
      <c r="H16" s="2" t="n">
        <v>3500</v>
      </c>
      <c r="I16" s="2" t="n">
        <v>3500</v>
      </c>
      <c r="J16" s="2">
        <f>D16+E16+F16+G16+H16+I16</f>
        <v/>
      </c>
      <c r="K16" s="2" t="n"/>
      <c r="L16" s="2">
        <f>J16-K16</f>
        <v/>
      </c>
      <c r="M16" s="2" t="n">
        <v>3500</v>
      </c>
      <c r="N16" s="2" t="n">
        <v>3500</v>
      </c>
      <c r="O16" s="2" t="n">
        <v>3500</v>
      </c>
      <c r="P16" s="2" t="n">
        <v>3500</v>
      </c>
      <c r="Q16" s="2" t="n">
        <v>3500</v>
      </c>
      <c r="R16" s="2" t="n">
        <v>3500</v>
      </c>
      <c r="S16" s="2">
        <f>M16+N16+O16+P16+Q16+R16</f>
        <v/>
      </c>
      <c r="T16" s="2" t="n"/>
      <c r="U16" s="2">
        <f>S16-T16</f>
        <v/>
      </c>
      <c r="V16" s="2" t="n">
        <v>42000</v>
      </c>
      <c r="W16" s="2">
        <f>J16+S16</f>
        <v/>
      </c>
      <c r="X16" s="2">
        <f>W16&gt;V16</f>
        <v/>
      </c>
      <c r="Y16" s="2" t="inlineStr">
        <is>
          <t>VP Sales</t>
        </is>
      </c>
      <c r="Z16" s="2" t="inlineStr"/>
    </row>
    <row r="17">
      <c r="A17" s="3" t="inlineStr">
        <is>
          <t>2025</t>
        </is>
      </c>
      <c r="B17" s="3" t="inlineStr">
        <is>
          <t>HR</t>
        </is>
      </c>
      <c r="C17" s="3" t="inlineStr">
        <is>
          <t>Salaries</t>
        </is>
      </c>
      <c r="D17" s="3" t="n">
        <v>120000</v>
      </c>
      <c r="E17" s="3" t="n">
        <v>121000</v>
      </c>
      <c r="F17" s="3" t="n">
        <v>122000</v>
      </c>
      <c r="G17" s="3" t="n">
        <v>123000</v>
      </c>
      <c r="H17" s="3" t="n">
        <v>124000</v>
      </c>
      <c r="I17" s="3" t="n">
        <v>125000</v>
      </c>
      <c r="J17" s="3">
        <f>D17+E17+F17+G17+H17+I17</f>
        <v/>
      </c>
      <c r="K17" s="3" t="n"/>
      <c r="L17" s="3">
        <f>J17-K17</f>
        <v/>
      </c>
      <c r="M17" s="3" t="n">
        <v>126000</v>
      </c>
      <c r="N17" s="3" t="n">
        <v>127000</v>
      </c>
      <c r="O17" s="3" t="n">
        <v>128000</v>
      </c>
      <c r="P17" s="3" t="n">
        <v>129000</v>
      </c>
      <c r="Q17" s="3" t="n">
        <v>130000</v>
      </c>
      <c r="R17" s="3" t="n">
        <v>131000</v>
      </c>
      <c r="S17" s="3">
        <f>M17+N17+O17+P17+Q17+R17</f>
        <v/>
      </c>
      <c r="T17" s="3" t="n"/>
      <c r="U17" s="3">
        <f>S17-T17</f>
        <v/>
      </c>
      <c r="V17" s="3" t="n">
        <v>1506000</v>
      </c>
      <c r="W17" s="3">
        <f>J17+S17</f>
        <v/>
      </c>
      <c r="X17" s="3">
        <f>W17&gt;V17</f>
        <v/>
      </c>
      <c r="Y17" s="3" t="inlineStr">
        <is>
          <t>CHRO</t>
        </is>
      </c>
      <c r="Z17" s="3" t="inlineStr"/>
    </row>
    <row r="18">
      <c r="A18" s="2" t="inlineStr">
        <is>
          <t>2025</t>
        </is>
      </c>
      <c r="B18" s="2" t="inlineStr">
        <is>
          <t>HR</t>
        </is>
      </c>
      <c r="C18" s="2" t="inlineStr">
        <is>
          <t>Recruiting</t>
        </is>
      </c>
      <c r="D18" s="2" t="n">
        <v>8000</v>
      </c>
      <c r="E18" s="2" t="n">
        <v>12000</v>
      </c>
      <c r="F18" s="2" t="n">
        <v>15000</v>
      </c>
      <c r="G18" s="2" t="n">
        <v>22000</v>
      </c>
      <c r="H18" s="2" t="n">
        <v>18000</v>
      </c>
      <c r="I18" s="2" t="n">
        <v>10000</v>
      </c>
      <c r="J18" s="2">
        <f>D18+E18+F18+G18+H18+I18</f>
        <v/>
      </c>
      <c r="K18" s="2" t="n"/>
      <c r="L18" s="2">
        <f>J18-K18</f>
        <v/>
      </c>
      <c r="M18" s="2" t="n">
        <v>14000</v>
      </c>
      <c r="N18" s="2" t="n">
        <v>20000</v>
      </c>
      <c r="O18" s="2" t="n">
        <v>25000</v>
      </c>
      <c r="P18" s="2" t="n">
        <v>30000</v>
      </c>
      <c r="Q18" s="2" t="n">
        <v>22000</v>
      </c>
      <c r="R18" s="2" t="n">
        <v>8000</v>
      </c>
      <c r="S18" s="2">
        <f>M18+N18+O18+P18+Q18+R18</f>
        <v/>
      </c>
      <c r="T18" s="2" t="n"/>
      <c r="U18" s="2">
        <f>S18-T18</f>
        <v/>
      </c>
      <c r="V18" s="2" t="n">
        <v>204000</v>
      </c>
      <c r="W18" s="2">
        <f>J18+S18</f>
        <v/>
      </c>
      <c r="X18" s="2">
        <f>W18&gt;V18</f>
        <v/>
      </c>
      <c r="Y18" s="2" t="inlineStr">
        <is>
          <t>CHRO</t>
        </is>
      </c>
      <c r="Z18" s="2" t="inlineStr">
        <is>
          <t>Hiring surge H1+H2</t>
        </is>
      </c>
    </row>
    <row r="19">
      <c r="A19" s="3" t="inlineStr">
        <is>
          <t>2025</t>
        </is>
      </c>
      <c r="B19" s="3" t="inlineStr">
        <is>
          <t>HR</t>
        </is>
      </c>
      <c r="C19" s="3" t="inlineStr">
        <is>
          <t>Training</t>
        </is>
      </c>
      <c r="D19" s="3" t="n">
        <v>5000</v>
      </c>
      <c r="E19" s="3" t="n">
        <v>5000</v>
      </c>
      <c r="F19" s="3" t="n">
        <v>8000</v>
      </c>
      <c r="G19" s="3" t="n">
        <v>5000</v>
      </c>
      <c r="H19" s="3" t="n">
        <v>5000</v>
      </c>
      <c r="I19" s="3" t="n">
        <v>12000</v>
      </c>
      <c r="J19" s="3">
        <f>D19+E19+F19+G19+H19+I19</f>
        <v/>
      </c>
      <c r="K19" s="3" t="n"/>
      <c r="L19" s="3">
        <f>J19-K19</f>
        <v/>
      </c>
      <c r="M19" s="3" t="n">
        <v>5000</v>
      </c>
      <c r="N19" s="3" t="n">
        <v>5000</v>
      </c>
      <c r="O19" s="3" t="n">
        <v>9000</v>
      </c>
      <c r="P19" s="3" t="n">
        <v>5000</v>
      </c>
      <c r="Q19" s="3" t="n">
        <v>5000</v>
      </c>
      <c r="R19" s="3" t="n">
        <v>14000</v>
      </c>
      <c r="S19" s="3">
        <f>M19+N19+O19+P19+Q19+R19</f>
        <v/>
      </c>
      <c r="T19" s="3" t="n"/>
      <c r="U19" s="3">
        <f>S19-T19</f>
        <v/>
      </c>
      <c r="V19" s="3" t="n">
        <v>84000</v>
      </c>
      <c r="W19" s="3">
        <f>J19+S19</f>
        <v/>
      </c>
      <c r="X19" s="3">
        <f>W19&gt;V19</f>
        <v/>
      </c>
      <c r="Y19" s="3" t="inlineStr">
        <is>
          <t>CHRO</t>
        </is>
      </c>
      <c r="Z19" s="3" t="inlineStr"/>
    </row>
    <row r="20">
      <c r="A20" s="2" t="inlineStr">
        <is>
          <t>2025</t>
        </is>
      </c>
      <c r="B20" s="2" t="inlineStr">
        <is>
          <t>Finance</t>
        </is>
      </c>
      <c r="C20" s="2" t="inlineStr">
        <is>
          <t>Salaries</t>
        </is>
      </c>
      <c r="D20" s="2" t="n">
        <v>95000</v>
      </c>
      <c r="E20" s="2" t="n">
        <v>96000</v>
      </c>
      <c r="F20" s="2" t="n">
        <v>97000</v>
      </c>
      <c r="G20" s="2" t="n">
        <v>98000</v>
      </c>
      <c r="H20" s="2" t="n">
        <v>99000</v>
      </c>
      <c r="I20" s="2" t="n">
        <v>100000</v>
      </c>
      <c r="J20" s="2">
        <f>D20+E20+F20+G20+H20+I20</f>
        <v/>
      </c>
      <c r="K20" s="2" t="n"/>
      <c r="L20" s="2">
        <f>J20-K20</f>
        <v/>
      </c>
      <c r="M20" s="2" t="n">
        <v>101000</v>
      </c>
      <c r="N20" s="2" t="n">
        <v>102000</v>
      </c>
      <c r="O20" s="2" t="n">
        <v>103000</v>
      </c>
      <c r="P20" s="2" t="n">
        <v>104000</v>
      </c>
      <c r="Q20" s="2" t="n">
        <v>105000</v>
      </c>
      <c r="R20" s="2" t="n">
        <v>106000</v>
      </c>
      <c r="S20" s="2">
        <f>M20+N20+O20+P20+Q20+R20</f>
        <v/>
      </c>
      <c r="T20" s="2" t="n"/>
      <c r="U20" s="2">
        <f>S20-T20</f>
        <v/>
      </c>
      <c r="V20" s="2" t="n">
        <v>1206000</v>
      </c>
      <c r="W20" s="2">
        <f>J20+S20</f>
        <v/>
      </c>
      <c r="X20" s="2">
        <f>W20&gt;V20</f>
        <v/>
      </c>
      <c r="Y20" s="2" t="inlineStr">
        <is>
          <t>CFO</t>
        </is>
      </c>
      <c r="Z20" s="2" t="inlineStr"/>
    </row>
    <row r="21">
      <c r="A21" s="3" t="inlineStr">
        <is>
          <t>2025</t>
        </is>
      </c>
      <c r="B21" s="3" t="inlineStr">
        <is>
          <t>Finance</t>
        </is>
      </c>
      <c r="C21" s="3" t="inlineStr">
        <is>
          <t>Audit</t>
        </is>
      </c>
      <c r="D21" s="3" t="n">
        <v>0</v>
      </c>
      <c r="E21" s="3" t="n">
        <v>0</v>
      </c>
      <c r="F21" s="3" t="n">
        <v>0</v>
      </c>
      <c r="G21" s="3" t="n">
        <v>45000</v>
      </c>
      <c r="H21" s="3" t="n">
        <v>0</v>
      </c>
      <c r="I21" s="3" t="n">
        <v>0</v>
      </c>
      <c r="J21" s="3">
        <f>D21+E21+F21+G21+H21+I21</f>
        <v/>
      </c>
      <c r="K21" s="3" t="n"/>
      <c r="L21" s="3">
        <f>J21-K21</f>
        <v/>
      </c>
      <c r="M21" s="3" t="n">
        <v>0</v>
      </c>
      <c r="N21" s="3" t="n">
        <v>0</v>
      </c>
      <c r="O21" s="3" t="n">
        <v>0</v>
      </c>
      <c r="P21" s="3" t="n">
        <v>48000</v>
      </c>
      <c r="Q21" s="3" t="n">
        <v>0</v>
      </c>
      <c r="R21" s="3" t="n">
        <v>0</v>
      </c>
      <c r="S21" s="3">
        <f>M21+N21+O21+P21+Q21+R21</f>
        <v/>
      </c>
      <c r="T21" s="3" t="n"/>
      <c r="U21" s="3">
        <f>S21-T21</f>
        <v/>
      </c>
      <c r="V21" s="3" t="n">
        <v>93000</v>
      </c>
      <c r="W21" s="3">
        <f>J21+S21</f>
        <v/>
      </c>
      <c r="X21" s="3">
        <f>W21&gt;V21</f>
        <v/>
      </c>
      <c r="Y21" s="3" t="inlineStr">
        <is>
          <t>CFO</t>
        </is>
      </c>
      <c r="Z21" s="3" t="inlineStr">
        <is>
          <t>Annual audits Q2+Q4</t>
        </is>
      </c>
    </row>
    <row r="22">
      <c r="A22" s="2" t="inlineStr">
        <is>
          <t>2025</t>
        </is>
      </c>
      <c r="B22" s="2" t="inlineStr">
        <is>
          <t>Finance</t>
        </is>
      </c>
      <c r="C22" s="2" t="inlineStr">
        <is>
          <t>Software</t>
        </is>
      </c>
      <c r="D22" s="2" t="n">
        <v>6000</v>
      </c>
      <c r="E22" s="2" t="n">
        <v>6000</v>
      </c>
      <c r="F22" s="2" t="n">
        <v>6000</v>
      </c>
      <c r="G22" s="2" t="n">
        <v>6000</v>
      </c>
      <c r="H22" s="2" t="n">
        <v>6000</v>
      </c>
      <c r="I22" s="2" t="n">
        <v>6000</v>
      </c>
      <c r="J22" s="2">
        <f>D22+E22+F22+G22+H22+I22</f>
        <v/>
      </c>
      <c r="K22" s="2" t="n"/>
      <c r="L22" s="2">
        <f>J22-K22</f>
        <v/>
      </c>
      <c r="M22" s="2" t="n">
        <v>6000</v>
      </c>
      <c r="N22" s="2" t="n">
        <v>6000</v>
      </c>
      <c r="O22" s="2" t="n">
        <v>6000</v>
      </c>
      <c r="P22" s="2" t="n">
        <v>6000</v>
      </c>
      <c r="Q22" s="2" t="n">
        <v>6000</v>
      </c>
      <c r="R22" s="2" t="n">
        <v>6000</v>
      </c>
      <c r="S22" s="2">
        <f>M22+N22+O22+P22+Q22+R22</f>
        <v/>
      </c>
      <c r="T22" s="2" t="n"/>
      <c r="U22" s="2">
        <f>S22-T22</f>
        <v/>
      </c>
      <c r="V22" s="2" t="n">
        <v>72000</v>
      </c>
      <c r="W22" s="2">
        <f>J22+S22</f>
        <v/>
      </c>
      <c r="X22" s="2">
        <f>W22&gt;V22</f>
        <v/>
      </c>
      <c r="Y22" s="2" t="inlineStr">
        <is>
          <t>CFO</t>
        </is>
      </c>
      <c r="Z22" s="2" t="inlineStr"/>
    </row>
    <row r="23">
      <c r="A23" s="3" t="inlineStr">
        <is>
          <t>2025</t>
        </is>
      </c>
      <c r="B23" s="3" t="inlineStr">
        <is>
          <t>Legal</t>
        </is>
      </c>
      <c r="C23" s="3" t="inlineStr">
        <is>
          <t>Salaries</t>
        </is>
      </c>
      <c r="D23" s="3" t="n">
        <v>80000</v>
      </c>
      <c r="E23" s="3" t="n">
        <v>81000</v>
      </c>
      <c r="F23" s="3" t="n">
        <v>82000</v>
      </c>
      <c r="G23" s="3" t="n">
        <v>83000</v>
      </c>
      <c r="H23" s="3" t="n">
        <v>84000</v>
      </c>
      <c r="I23" s="3" t="n">
        <v>85000</v>
      </c>
      <c r="J23" s="3">
        <f>D23+E23+F23+G23+H23+I23</f>
        <v/>
      </c>
      <c r="K23" s="3" t="n"/>
      <c r="L23" s="3">
        <f>J23-K23</f>
        <v/>
      </c>
      <c r="M23" s="3" t="n">
        <v>86000</v>
      </c>
      <c r="N23" s="3" t="n">
        <v>87000</v>
      </c>
      <c r="O23" s="3" t="n">
        <v>88000</v>
      </c>
      <c r="P23" s="3" t="n">
        <v>89000</v>
      </c>
      <c r="Q23" s="3" t="n">
        <v>90000</v>
      </c>
      <c r="R23" s="3" t="n">
        <v>91000</v>
      </c>
      <c r="S23" s="3">
        <f>M23+N23+O23+P23+Q23+R23</f>
        <v/>
      </c>
      <c r="T23" s="3" t="n"/>
      <c r="U23" s="3">
        <f>S23-T23</f>
        <v/>
      </c>
      <c r="V23" s="3" t="n">
        <v>1026000</v>
      </c>
      <c r="W23" s="3">
        <f>J23+S23</f>
        <v/>
      </c>
      <c r="X23" s="3">
        <f>W23&gt;V23</f>
        <v/>
      </c>
      <c r="Y23" s="3" t="inlineStr">
        <is>
          <t>CLO</t>
        </is>
      </c>
      <c r="Z23" s="3" t="inlineStr"/>
    </row>
    <row r="24">
      <c r="A24" s="2" t="inlineStr">
        <is>
          <t>2025</t>
        </is>
      </c>
      <c r="B24" s="2" t="inlineStr">
        <is>
          <t>Legal</t>
        </is>
      </c>
      <c r="C24" s="2" t="inlineStr">
        <is>
          <t>Ext Counsel</t>
        </is>
      </c>
      <c r="D24" s="2" t="n">
        <v>5000</v>
      </c>
      <c r="E24" s="2" t="n">
        <v>15000</v>
      </c>
      <c r="F24" s="2" t="n">
        <v>8000</v>
      </c>
      <c r="G24" s="2" t="n">
        <v>22000</v>
      </c>
      <c r="H24" s="2" t="n">
        <v>12000</v>
      </c>
      <c r="I24" s="2" t="n">
        <v>5000</v>
      </c>
      <c r="J24" s="2">
        <f>D24+E24+F24+G24+H24+I24</f>
        <v/>
      </c>
      <c r="K24" s="2" t="n"/>
      <c r="L24" s="2">
        <f>J24-K24</f>
        <v/>
      </c>
      <c r="M24" s="2" t="n">
        <v>8000</v>
      </c>
      <c r="N24" s="2" t="n">
        <v>35000</v>
      </c>
      <c r="O24" s="2" t="n">
        <v>12000</v>
      </c>
      <c r="P24" s="2" t="n">
        <v>40000</v>
      </c>
      <c r="Q24" s="2" t="n">
        <v>18000</v>
      </c>
      <c r="R24" s="2" t="n">
        <v>5000</v>
      </c>
      <c r="S24" s="2">
        <f>M24+N24+O24+P24+Q24+R24</f>
        <v/>
      </c>
      <c r="T24" s="2" t="n"/>
      <c r="U24" s="2">
        <f>S24-T24</f>
        <v/>
      </c>
      <c r="V24" s="2" t="n">
        <v>185000</v>
      </c>
      <c r="W24" s="2">
        <f>J24+S24</f>
        <v/>
      </c>
      <c r="X24" s="2">
        <f>W24&gt;V24</f>
        <v/>
      </c>
      <c r="Y24" s="2" t="inlineStr">
        <is>
          <t>CLO</t>
        </is>
      </c>
      <c r="Z24" s="2" t="inlineStr">
        <is>
          <t>Litigation H2 spike</t>
        </is>
      </c>
    </row>
    <row r="25">
      <c r="A25" s="3" t="inlineStr">
        <is>
          <t>2025</t>
        </is>
      </c>
      <c r="B25" s="3" t="inlineStr">
        <is>
          <t>Legal</t>
        </is>
      </c>
      <c r="C25" s="3" t="inlineStr">
        <is>
          <t>Compliance</t>
        </is>
      </c>
      <c r="D25" s="3" t="n">
        <v>3000</v>
      </c>
      <c r="E25" s="3" t="n">
        <v>3000</v>
      </c>
      <c r="F25" s="3" t="n">
        <v>3000</v>
      </c>
      <c r="G25" s="3" t="n">
        <v>3000</v>
      </c>
      <c r="H25" s="3" t="n">
        <v>3000</v>
      </c>
      <c r="I25" s="3" t="n">
        <v>3000</v>
      </c>
      <c r="J25" s="3">
        <f>D25+E25+F25+G25+H25+I25</f>
        <v/>
      </c>
      <c r="K25" s="3" t="n"/>
      <c r="L25" s="3">
        <f>J25-K25</f>
        <v/>
      </c>
      <c r="M25" s="3" t="n">
        <v>3000</v>
      </c>
      <c r="N25" s="3" t="n">
        <v>3000</v>
      </c>
      <c r="O25" s="3" t="n">
        <v>3000</v>
      </c>
      <c r="P25" s="3" t="n">
        <v>3000</v>
      </c>
      <c r="Q25" s="3" t="n">
        <v>3000</v>
      </c>
      <c r="R25" s="3" t="n">
        <v>3000</v>
      </c>
      <c r="S25" s="3">
        <f>M25+N25+O25+P25+Q25+R25</f>
        <v/>
      </c>
      <c r="T25" s="3" t="n"/>
      <c r="U25" s="3">
        <f>S25-T25</f>
        <v/>
      </c>
      <c r="V25" s="3" t="n">
        <v>36000</v>
      </c>
      <c r="W25" s="3">
        <f>J25+S25</f>
        <v/>
      </c>
      <c r="X25" s="3">
        <f>W25&gt;V25</f>
        <v/>
      </c>
      <c r="Y25" s="3" t="inlineStr">
        <is>
          <t>CLO</t>
        </is>
      </c>
      <c r="Z2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8" customWidth="1" min="4" max="4"/>
    <col width="9" customWidth="1" min="5" max="5"/>
    <col width="13" customWidth="1" min="6" max="6"/>
    <col width="17" customWidth="1" min="7" max="7"/>
    <col width="21" customWidth="1" min="8" max="8"/>
    <col width="19" customWidth="1" min="9" max="9"/>
    <col width="17" customWidth="1" min="10" max="10"/>
    <col width="22" customWidth="1" min="11" max="11"/>
    <col width="18" customWidth="1" min="12" max="12"/>
    <col width="18" customWidth="1" min="13" max="13"/>
    <col width="26" customWidth="1" min="14" max="14"/>
    <col width="19" customWidth="1" min="15" max="15"/>
    <col width="19" customWidth="1" min="16" max="16"/>
    <col width="20" customWidth="1" min="17" max="17"/>
    <col width="30" customWidth="1" min="18" max="18"/>
  </cols>
  <sheetData>
    <row r="1">
      <c r="A1" s="1" t="inlineStr">
        <is>
          <t>Employee</t>
        </is>
      </c>
      <c r="B1" s="1" t="inlineStr">
        <is>
          <t>Department</t>
        </is>
      </c>
      <c r="C1" s="1" t="inlineStr">
        <is>
          <t>Role</t>
        </is>
      </c>
      <c r="D1" s="1" t="inlineStr">
        <is>
          <t>Level</t>
        </is>
      </c>
      <c r="E1" s="1" t="inlineStr">
        <is>
          <t>Salary</t>
        </is>
      </c>
      <c r="F1" s="1" t="inlineStr">
        <is>
          <t>Perf_Score</t>
        </is>
      </c>
      <c r="G1" s="1" t="inlineStr">
        <is>
          <t>Attendance_Pct</t>
        </is>
      </c>
      <c r="H1" s="1" t="inlineStr">
        <is>
          <t>Projects_Completed</t>
        </is>
      </c>
      <c r="I1" s="1" t="inlineStr">
        <is>
          <t>Projects_Overdue</t>
        </is>
      </c>
      <c r="J1" s="1" t="inlineStr">
        <is>
          <t>Bonus_Eligible</t>
        </is>
      </c>
      <c r="K1" s="1" t="inlineStr">
        <is>
          <t>Bonus_Amount</t>
        </is>
      </c>
      <c r="L1" s="1" t="inlineStr">
        <is>
          <t>Salary_Band_Min</t>
        </is>
      </c>
      <c r="M1" s="1" t="inlineStr">
        <is>
          <t>Salary_Band_Max</t>
        </is>
      </c>
      <c r="N1" s="1" t="inlineStr">
        <is>
          <t>Within_Band</t>
        </is>
      </c>
      <c r="O1" s="1" t="inlineStr">
        <is>
          <t>Last_Review_Date</t>
        </is>
      </c>
      <c r="P1" s="1" t="inlineStr">
        <is>
          <t>Next_Review_Date</t>
        </is>
      </c>
      <c r="Q1" s="1" t="inlineStr">
        <is>
          <t>Rating</t>
        </is>
      </c>
      <c r="R1" s="1" t="inlineStr">
        <is>
          <t>Manager_Notes</t>
        </is>
      </c>
    </row>
    <row r="2">
      <c r="A2" s="2" t="inlineStr">
        <is>
          <t>Ada Lovelace</t>
        </is>
      </c>
      <c r="B2" s="2" t="inlineStr">
        <is>
          <t>Engineering</t>
        </is>
      </c>
      <c r="C2" s="2" t="inlineStr">
        <is>
          <t>Staff Engineer</t>
        </is>
      </c>
      <c r="D2" s="2" t="inlineStr">
        <is>
          <t>L5</t>
        </is>
      </c>
      <c r="E2" s="2" t="n">
        <v>145000</v>
      </c>
      <c r="F2" s="2" t="n">
        <v>4.8</v>
      </c>
      <c r="G2" s="2" t="n">
        <v>98.5</v>
      </c>
      <c r="H2" s="2" t="n">
        <v>12</v>
      </c>
      <c r="I2" s="2" t="n">
        <v>0</v>
      </c>
      <c r="J2" s="2" t="b">
        <v>1</v>
      </c>
      <c r="K2" s="2">
        <f>IF(J2,E2*0.15,0)</f>
        <v/>
      </c>
      <c r="L2" s="2" t="n">
        <v>130000</v>
      </c>
      <c r="M2" s="2" t="n">
        <v>160000</v>
      </c>
      <c r="N2" s="2">
        <f>AND(E2&gt;=L2,E2&lt;=M2)</f>
        <v/>
      </c>
      <c r="O2" s="2" t="inlineStr">
        <is>
          <t>2024-11-01</t>
        </is>
      </c>
      <c r="P2" s="2" t="inlineStr">
        <is>
          <t>2025-11-01</t>
        </is>
      </c>
      <c r="Q2" s="2" t="inlineStr">
        <is>
          <t>Exceptional</t>
        </is>
      </c>
      <c r="R2" s="2" t="inlineStr">
        <is>
          <t>Promote to L6 consideration</t>
        </is>
      </c>
    </row>
    <row r="3">
      <c r="A3" s="3" t="inlineStr">
        <is>
          <t>Alan Turing</t>
        </is>
      </c>
      <c r="B3" s="3" t="inlineStr">
        <is>
          <t>Engineering</t>
        </is>
      </c>
      <c r="C3" s="3" t="inlineStr">
        <is>
          <t>Senior Engineer</t>
        </is>
      </c>
      <c r="D3" s="3" t="inlineStr">
        <is>
          <t>L4</t>
        </is>
      </c>
      <c r="E3" s="3" t="n">
        <v>118000</v>
      </c>
      <c r="F3" s="3" t="n">
        <v>2.9</v>
      </c>
      <c r="G3" s="3" t="n">
        <v>88</v>
      </c>
      <c r="H3" s="3" t="n">
        <v>6</v>
      </c>
      <c r="I3" s="3" t="n">
        <v>4</v>
      </c>
      <c r="J3" s="3" t="b">
        <v>0</v>
      </c>
      <c r="K3" s="3">
        <f>IF(J3,E3*0.0,0)</f>
        <v/>
      </c>
      <c r="L3" s="3" t="n">
        <v>105000</v>
      </c>
      <c r="M3" s="3" t="n">
        <v>135000</v>
      </c>
      <c r="N3" s="3">
        <f>AND(E3&gt;=L3,E3&lt;=M3)</f>
        <v/>
      </c>
      <c r="O3" s="3" t="inlineStr">
        <is>
          <t>2024-09-15</t>
        </is>
      </c>
      <c r="P3" s="3" t="inlineStr">
        <is>
          <t>2025-09-15</t>
        </is>
      </c>
      <c r="Q3" s="3" t="inlineStr">
        <is>
          <t>Needs Improvement</t>
        </is>
      </c>
      <c r="R3" s="3" t="inlineStr">
        <is>
          <t>PIP initiated Q3</t>
        </is>
      </c>
    </row>
    <row r="4">
      <c r="A4" s="2" t="inlineStr">
        <is>
          <t>Grace Hopper</t>
        </is>
      </c>
      <c r="B4" s="2" t="inlineStr">
        <is>
          <t>Engineering</t>
        </is>
      </c>
      <c r="C4" s="2" t="inlineStr">
        <is>
          <t>Principal Eng</t>
        </is>
      </c>
      <c r="D4" s="2" t="inlineStr">
        <is>
          <t>L6</t>
        </is>
      </c>
      <c r="E4" s="2" t="n">
        <v>172000</v>
      </c>
      <c r="F4" s="2" t="n">
        <v>4.9</v>
      </c>
      <c r="G4" s="2" t="n">
        <v>99.09999999999999</v>
      </c>
      <c r="H4" s="2" t="n">
        <v>15</v>
      </c>
      <c r="I4" s="2" t="n">
        <v>0</v>
      </c>
      <c r="J4" s="2" t="b">
        <v>1</v>
      </c>
      <c r="K4" s="2">
        <f>IF(J4,E4*0.15,0)</f>
        <v/>
      </c>
      <c r="L4" s="2" t="n">
        <v>155000</v>
      </c>
      <c r="M4" s="2" t="n">
        <v>185000</v>
      </c>
      <c r="N4" s="2">
        <f>AND(E4&gt;=L4,E4&lt;=M4)</f>
        <v/>
      </c>
      <c r="O4" s="2" t="inlineStr">
        <is>
          <t>2024-10-01</t>
        </is>
      </c>
      <c r="P4" s="2" t="inlineStr">
        <is>
          <t>2025-10-01</t>
        </is>
      </c>
      <c r="Q4" s="2" t="inlineStr">
        <is>
          <t>Exceptional</t>
        </is>
      </c>
      <c r="R4" s="2" t="inlineStr">
        <is>
          <t>Key retention risk — comp review needed</t>
        </is>
      </c>
    </row>
    <row r="5">
      <c r="A5" s="3" t="inlineStr">
        <is>
          <t>Linus Torvalds</t>
        </is>
      </c>
      <c r="B5" s="3" t="inlineStr">
        <is>
          <t>Engineering</t>
        </is>
      </c>
      <c r="C5" s="3" t="inlineStr">
        <is>
          <t>Staff Engineer</t>
        </is>
      </c>
      <c r="D5" s="3" t="inlineStr">
        <is>
          <t>L5</t>
        </is>
      </c>
      <c r="E5" s="3" t="n">
        <v>140000</v>
      </c>
      <c r="F5" s="3" t="n">
        <v>4.2</v>
      </c>
      <c r="G5" s="3" t="n">
        <v>96</v>
      </c>
      <c r="H5" s="3" t="n">
        <v>10</v>
      </c>
      <c r="I5" s="3" t="n">
        <v>1</v>
      </c>
      <c r="J5" s="3" t="b">
        <v>1</v>
      </c>
      <c r="K5" s="3">
        <f>IF(J5,E5*0.1,0)</f>
        <v/>
      </c>
      <c r="L5" s="3" t="n">
        <v>130000</v>
      </c>
      <c r="M5" s="3" t="n">
        <v>160000</v>
      </c>
      <c r="N5" s="3">
        <f>AND(E5&gt;=L5,E5&lt;=M5)</f>
        <v/>
      </c>
      <c r="O5" s="3" t="inlineStr">
        <is>
          <t>2024-12-01</t>
        </is>
      </c>
      <c r="P5" s="3" t="inlineStr">
        <is>
          <t>2025-12-01</t>
        </is>
      </c>
      <c r="Q5" s="3" t="inlineStr">
        <is>
          <t>Exceeds</t>
        </is>
      </c>
      <c r="R5" s="3" t="inlineStr"/>
    </row>
    <row r="6">
      <c r="A6" s="2" t="inlineStr">
        <is>
          <t>Barbara Liskov</t>
        </is>
      </c>
      <c r="B6" s="2" t="inlineStr">
        <is>
          <t>Research</t>
        </is>
      </c>
      <c r="C6" s="2" t="inlineStr">
        <is>
          <t>Research Scientist</t>
        </is>
      </c>
      <c r="D6" s="2" t="inlineStr">
        <is>
          <t>L5</t>
        </is>
      </c>
      <c r="E6" s="2" t="n">
        <v>138000</v>
      </c>
      <c r="F6" s="2" t="n">
        <v>3.4</v>
      </c>
      <c r="G6" s="2" t="n">
        <v>91</v>
      </c>
      <c r="H6" s="2" t="n">
        <v>7</v>
      </c>
      <c r="I6" s="2" t="n">
        <v>3</v>
      </c>
      <c r="J6" s="2" t="b">
        <v>1</v>
      </c>
      <c r="K6" s="2">
        <f>IF(J6,E6*0.05,0)</f>
        <v/>
      </c>
      <c r="L6" s="2" t="n">
        <v>125000</v>
      </c>
      <c r="M6" s="2" t="n">
        <v>155000</v>
      </c>
      <c r="N6" s="2">
        <f>AND(E6&gt;=L6,E6&lt;=M6)</f>
        <v/>
      </c>
      <c r="O6" s="2" t="inlineStr">
        <is>
          <t>2024-08-01</t>
        </is>
      </c>
      <c r="P6" s="2" t="inlineStr">
        <is>
          <t>2025-08-01</t>
        </is>
      </c>
      <c r="Q6" s="2" t="inlineStr">
        <is>
          <t>Meets</t>
        </is>
      </c>
      <c r="R6" s="2" t="inlineStr">
        <is>
          <t>Overdue projects a concern</t>
        </is>
      </c>
    </row>
    <row r="7">
      <c r="A7" s="3" t="inlineStr">
        <is>
          <t>Bjarne Stroustrup</t>
        </is>
      </c>
      <c r="B7" s="3" t="inlineStr">
        <is>
          <t>Engineering</t>
        </is>
      </c>
      <c r="C7" s="3" t="inlineStr">
        <is>
          <t>Senior Engineer</t>
        </is>
      </c>
      <c r="D7" s="3" t="inlineStr">
        <is>
          <t>L4</t>
        </is>
      </c>
      <c r="E7" s="3" t="n">
        <v>115000</v>
      </c>
      <c r="F7" s="3" t="n">
        <v>3.8</v>
      </c>
      <c r="G7" s="3" t="n">
        <v>94.5</v>
      </c>
      <c r="H7" s="3" t="n">
        <v>8</v>
      </c>
      <c r="I7" s="3" t="n">
        <v>1</v>
      </c>
      <c r="J7" s="3" t="b">
        <v>1</v>
      </c>
      <c r="K7" s="3">
        <f>IF(J7,E7*0.05,0)</f>
        <v/>
      </c>
      <c r="L7" s="3" t="n">
        <v>105000</v>
      </c>
      <c r="M7" s="3" t="n">
        <v>135000</v>
      </c>
      <c r="N7" s="3">
        <f>AND(E7&gt;=L7,E7&lt;=M7)</f>
        <v/>
      </c>
      <c r="O7" s="3" t="inlineStr">
        <is>
          <t>2024-11-15</t>
        </is>
      </c>
      <c r="P7" s="3" t="inlineStr">
        <is>
          <t>2025-11-15</t>
        </is>
      </c>
      <c r="Q7" s="3" t="inlineStr">
        <is>
          <t>Meets</t>
        </is>
      </c>
      <c r="R7" s="3" t="inlineStr"/>
    </row>
    <row r="8">
      <c r="A8" s="2" t="inlineStr">
        <is>
          <t>Margaret Hamilton</t>
        </is>
      </c>
      <c r="B8" s="2" t="inlineStr">
        <is>
          <t>Operations</t>
        </is>
      </c>
      <c r="C8" s="2" t="inlineStr">
        <is>
          <t>Director</t>
        </is>
      </c>
      <c r="D8" s="2" t="inlineStr">
        <is>
          <t>L7</t>
        </is>
      </c>
      <c r="E8" s="2" t="n">
        <v>195000</v>
      </c>
      <c r="F8" s="2" t="n">
        <v>4.7</v>
      </c>
      <c r="G8" s="2" t="n">
        <v>97.8</v>
      </c>
      <c r="H8" s="2" t="n">
        <v>20</v>
      </c>
      <c r="I8" s="2" t="n">
        <v>0</v>
      </c>
      <c r="J8" s="2" t="b">
        <v>1</v>
      </c>
      <c r="K8" s="2">
        <f>IF(J8,E8*0.15,0)</f>
        <v/>
      </c>
      <c r="L8" s="2" t="n">
        <v>180000</v>
      </c>
      <c r="M8" s="2" t="n">
        <v>215000</v>
      </c>
      <c r="N8" s="2">
        <f>AND(E8&gt;=L8,E8&lt;=M8)</f>
        <v/>
      </c>
      <c r="O8" s="2" t="inlineStr">
        <is>
          <t>2024-10-15</t>
        </is>
      </c>
      <c r="P8" s="2" t="inlineStr">
        <is>
          <t>2025-10-15</t>
        </is>
      </c>
      <c r="Q8" s="2" t="inlineStr">
        <is>
          <t>Exceptional</t>
        </is>
      </c>
      <c r="R8" s="2" t="inlineStr">
        <is>
          <t>Outstanding delivery record</t>
        </is>
      </c>
    </row>
    <row r="9">
      <c r="A9" s="3" t="inlineStr">
        <is>
          <t>Dennis Ritchie</t>
        </is>
      </c>
      <c r="B9" s="3" t="inlineStr">
        <is>
          <t>Research</t>
        </is>
      </c>
      <c r="C9" s="3" t="inlineStr">
        <is>
          <t>Research Engineer</t>
        </is>
      </c>
      <c r="D9" s="3" t="inlineStr">
        <is>
          <t>L3</t>
        </is>
      </c>
      <c r="E9" s="3" t="n">
        <v>95000</v>
      </c>
      <c r="F9" s="3" t="n">
        <v>1.8</v>
      </c>
      <c r="G9" s="3" t="n">
        <v>79</v>
      </c>
      <c r="H9" s="3" t="n">
        <v>3</v>
      </c>
      <c r="I9" s="3" t="n">
        <v>5</v>
      </c>
      <c r="J9" s="3" t="b">
        <v>0</v>
      </c>
      <c r="K9" s="3">
        <f>IF(J9,E9*0.0,0)</f>
        <v/>
      </c>
      <c r="L9" s="3" t="n">
        <v>85000</v>
      </c>
      <c r="M9" s="3" t="n">
        <v>110000</v>
      </c>
      <c r="N9" s="3">
        <f>AND(E9&gt;=L9,E9&lt;=M9)</f>
        <v/>
      </c>
      <c r="O9" s="3" t="inlineStr">
        <is>
          <t>2024-07-01</t>
        </is>
      </c>
      <c r="P9" s="3" t="inlineStr">
        <is>
          <t>2025-01-01</t>
        </is>
      </c>
      <c r="Q9" s="3" t="inlineStr">
        <is>
          <t>Unsatisfactory</t>
        </is>
      </c>
      <c r="R9" s="3" t="inlineStr">
        <is>
          <t>Urgent — second PIP in 12 months</t>
        </is>
      </c>
    </row>
    <row r="10">
      <c r="A10" s="2" t="inlineStr">
        <is>
          <t>Ken Thompson</t>
        </is>
      </c>
      <c r="B10" s="2" t="inlineStr">
        <is>
          <t>Operations</t>
        </is>
      </c>
      <c r="C10" s="2" t="inlineStr">
        <is>
          <t>Senior Manager</t>
        </is>
      </c>
      <c r="D10" s="2" t="inlineStr">
        <is>
          <t>L5</t>
        </is>
      </c>
      <c r="E10" s="2" t="n">
        <v>130000</v>
      </c>
      <c r="F10" s="2" t="n">
        <v>4.1</v>
      </c>
      <c r="G10" s="2" t="n">
        <v>95.5</v>
      </c>
      <c r="H10" s="2" t="n">
        <v>11</v>
      </c>
      <c r="I10" s="2" t="n">
        <v>0</v>
      </c>
      <c r="J10" s="2" t="b">
        <v>1</v>
      </c>
      <c r="K10" s="2">
        <f>IF(J10,E10*0.1,0)</f>
        <v/>
      </c>
      <c r="L10" s="2" t="n">
        <v>118000</v>
      </c>
      <c r="M10" s="2" t="n">
        <v>145000</v>
      </c>
      <c r="N10" s="2">
        <f>AND(E10&gt;=L10,E10&lt;=M10)</f>
        <v/>
      </c>
      <c r="O10" s="2" t="inlineStr">
        <is>
          <t>2024-12-15</t>
        </is>
      </c>
      <c r="P10" s="2" t="inlineStr">
        <is>
          <t>2025-12-15</t>
        </is>
      </c>
      <c r="Q10" s="2" t="inlineStr">
        <is>
          <t>Exceeds</t>
        </is>
      </c>
      <c r="R10" s="2" t="inlineStr"/>
    </row>
    <row r="11">
      <c r="A11" s="3" t="inlineStr">
        <is>
          <t>Guido van Rossum</t>
        </is>
      </c>
      <c r="B11" s="3" t="inlineStr">
        <is>
          <t>Engineering</t>
        </is>
      </c>
      <c r="C11" s="3" t="inlineStr">
        <is>
          <t>Distinguished Eng</t>
        </is>
      </c>
      <c r="D11" s="3" t="inlineStr">
        <is>
          <t>L7</t>
        </is>
      </c>
      <c r="E11" s="3" t="n">
        <v>185000</v>
      </c>
      <c r="F11" s="3" t="n">
        <v>4.6</v>
      </c>
      <c r="G11" s="3" t="n">
        <v>98</v>
      </c>
      <c r="H11" s="3" t="n">
        <v>14</v>
      </c>
      <c r="I11" s="3" t="n">
        <v>0</v>
      </c>
      <c r="J11" s="3" t="b">
        <v>1</v>
      </c>
      <c r="K11" s="3">
        <f>IF(J11,E11*0.15,0)</f>
        <v/>
      </c>
      <c r="L11" s="3" t="n">
        <v>170000</v>
      </c>
      <c r="M11" s="3" t="n">
        <v>205000</v>
      </c>
      <c r="N11" s="3">
        <f>AND(E11&gt;=L11,E11&lt;=M11)</f>
        <v/>
      </c>
      <c r="O11" s="3" t="inlineStr">
        <is>
          <t>2024-09-01</t>
        </is>
      </c>
      <c r="P11" s="3" t="inlineStr">
        <is>
          <t>2025-09-01</t>
        </is>
      </c>
      <c r="Q11" s="3" t="inlineStr">
        <is>
          <t>Exceptional</t>
        </is>
      </c>
      <c r="R11" s="3" t="inlineStr">
        <is>
          <t>Python 4.0 lead</t>
        </is>
      </c>
    </row>
    <row r="12">
      <c r="A12" s="2" t="inlineStr">
        <is>
          <t>Tim Berners-Lee</t>
        </is>
      </c>
      <c r="B12" s="2" t="inlineStr">
        <is>
          <t>Engineering</t>
        </is>
      </c>
      <c r="C12" s="2" t="inlineStr">
        <is>
          <t>Senior Engineer</t>
        </is>
      </c>
      <c r="D12" s="2" t="inlineStr">
        <is>
          <t>L4</t>
        </is>
      </c>
      <c r="E12" s="2" t="n">
        <v>112000</v>
      </c>
      <c r="F12" s="2" t="n">
        <v>3.9</v>
      </c>
      <c r="G12" s="2" t="n">
        <v>93</v>
      </c>
      <c r="H12" s="2" t="n">
        <v>8</v>
      </c>
      <c r="I12" s="2" t="n">
        <v>2</v>
      </c>
      <c r="J12" s="2" t="b">
        <v>1</v>
      </c>
      <c r="K12" s="2">
        <f>IF(J12,E12*0.05,0)</f>
        <v/>
      </c>
      <c r="L12" s="2" t="n">
        <v>105000</v>
      </c>
      <c r="M12" s="2" t="n">
        <v>135000</v>
      </c>
      <c r="N12" s="2">
        <f>AND(E12&gt;=L12,E12&lt;=M12)</f>
        <v/>
      </c>
      <c r="O12" s="2" t="inlineStr">
        <is>
          <t>2024-11-01</t>
        </is>
      </c>
      <c r="P12" s="2" t="inlineStr">
        <is>
          <t>2025-11-01</t>
        </is>
      </c>
      <c r="Q12" s="2" t="inlineStr">
        <is>
          <t>Meets</t>
        </is>
      </c>
      <c r="R12" s="2" t="inlineStr"/>
    </row>
    <row r="13">
      <c r="A13" s="3" t="inlineStr">
        <is>
          <t>Vint Cerf</t>
        </is>
      </c>
      <c r="B13" s="3" t="inlineStr">
        <is>
          <t>Operations</t>
        </is>
      </c>
      <c r="C13" s="3" t="inlineStr">
        <is>
          <t>VP</t>
        </is>
      </c>
      <c r="D13" s="3" t="inlineStr">
        <is>
          <t>L8</t>
        </is>
      </c>
      <c r="E13" s="3" t="n">
        <v>230000</v>
      </c>
      <c r="F13" s="3" t="n">
        <v>4.5</v>
      </c>
      <c r="G13" s="3" t="n">
        <v>96.5</v>
      </c>
      <c r="H13" s="3" t="n">
        <v>18</v>
      </c>
      <c r="I13" s="3" t="n">
        <v>1</v>
      </c>
      <c r="J13" s="3" t="b">
        <v>1</v>
      </c>
      <c r="K13" s="3">
        <f>IF(J13,E13*0.1,0)</f>
        <v/>
      </c>
      <c r="L13" s="3" t="n">
        <v>210000</v>
      </c>
      <c r="M13" s="3" t="n">
        <v>255000</v>
      </c>
      <c r="N13" s="3">
        <f>AND(E13&gt;=L13,E13&lt;=M13)</f>
        <v/>
      </c>
      <c r="O13" s="3" t="inlineStr">
        <is>
          <t>2024-10-01</t>
        </is>
      </c>
      <c r="P13" s="3" t="inlineStr">
        <is>
          <t>2025-10-01</t>
        </is>
      </c>
      <c r="Q13" s="3" t="inlineStr">
        <is>
          <t>Exceeds</t>
        </is>
      </c>
      <c r="R13" s="3" t="inlineStr">
        <is>
          <t>Infrastructure modernisation champion</t>
        </is>
      </c>
    </row>
    <row r="14">
      <c r="A14" s="2" t="inlineStr">
        <is>
          <t>John McCarthy</t>
        </is>
      </c>
      <c r="B14" s="2" t="inlineStr">
        <is>
          <t>Research</t>
        </is>
      </c>
      <c r="C14" s="2" t="inlineStr">
        <is>
          <t>Research Scientist</t>
        </is>
      </c>
      <c r="D14" s="2" t="inlineStr">
        <is>
          <t>L4</t>
        </is>
      </c>
      <c r="E14" s="2" t="n">
        <v>122000</v>
      </c>
      <c r="F14" s="2" t="n">
        <v>3.1</v>
      </c>
      <c r="G14" s="2" t="n">
        <v>86</v>
      </c>
      <c r="H14" s="2" t="n">
        <v>5</v>
      </c>
      <c r="I14" s="2" t="n">
        <v>4</v>
      </c>
      <c r="J14" s="2" t="b">
        <v>0</v>
      </c>
      <c r="K14" s="2">
        <f>IF(J14,E14*0.0,0)</f>
        <v/>
      </c>
      <c r="L14" s="2" t="n">
        <v>110000</v>
      </c>
      <c r="M14" s="2" t="n">
        <v>140000</v>
      </c>
      <c r="N14" s="2">
        <f>AND(E14&gt;=L14,E14&lt;=M14)</f>
        <v/>
      </c>
      <c r="O14" s="2" t="inlineStr">
        <is>
          <t>2024-06-01</t>
        </is>
      </c>
      <c r="P14" s="2" t="inlineStr">
        <is>
          <t>2025-06-01</t>
        </is>
      </c>
      <c r="Q14" s="2" t="inlineStr">
        <is>
          <t>Needs Improvement</t>
        </is>
      </c>
      <c r="R14" s="2" t="inlineStr">
        <is>
          <t>Pattern of missed deadlines</t>
        </is>
      </c>
    </row>
    <row r="15">
      <c r="A15" s="3" t="inlineStr">
        <is>
          <t>Claude Shannon</t>
        </is>
      </c>
      <c r="B15" s="3" t="inlineStr">
        <is>
          <t>Engineering</t>
        </is>
      </c>
      <c r="C15" s="3" t="inlineStr">
        <is>
          <t>Staff Engineer</t>
        </is>
      </c>
      <c r="D15" s="3" t="inlineStr">
        <is>
          <t>L5</t>
        </is>
      </c>
      <c r="E15" s="3" t="n">
        <v>142000</v>
      </c>
      <c r="F15" s="3" t="n">
        <v>4.4</v>
      </c>
      <c r="G15" s="3" t="n">
        <v>97</v>
      </c>
      <c r="H15" s="3" t="n">
        <v>11</v>
      </c>
      <c r="I15" s="3" t="n">
        <v>0</v>
      </c>
      <c r="J15" s="3" t="b">
        <v>1</v>
      </c>
      <c r="K15" s="3">
        <f>IF(J15,E15*0.1,0)</f>
        <v/>
      </c>
      <c r="L15" s="3" t="n">
        <v>130000</v>
      </c>
      <c r="M15" s="3" t="n">
        <v>160000</v>
      </c>
      <c r="N15" s="3">
        <f>AND(E15&gt;=L15,E15&lt;=M15)</f>
        <v/>
      </c>
      <c r="O15" s="3" t="inlineStr">
        <is>
          <t>2024-08-15</t>
        </is>
      </c>
      <c r="P15" s="3" t="inlineStr">
        <is>
          <t>2025-08-15</t>
        </is>
      </c>
      <c r="Q15" s="3" t="inlineStr">
        <is>
          <t>Exceeds</t>
        </is>
      </c>
      <c r="R15" s="3" t="inlineStr"/>
    </row>
    <row r="16">
      <c r="A16" s="2" t="inlineStr">
        <is>
          <t>Frances Allen</t>
        </is>
      </c>
      <c r="B16" s="2" t="inlineStr">
        <is>
          <t>Engineering</t>
        </is>
      </c>
      <c r="C16" s="2" t="inlineStr">
        <is>
          <t>Principal Eng</t>
        </is>
      </c>
      <c r="D16" s="2" t="inlineStr">
        <is>
          <t>L6</t>
        </is>
      </c>
      <c r="E16" s="2" t="n">
        <v>168000</v>
      </c>
      <c r="F16" s="2" t="n">
        <v>4.6</v>
      </c>
      <c r="G16" s="2" t="n">
        <v>98.5</v>
      </c>
      <c r="H16" s="2" t="n">
        <v>13</v>
      </c>
      <c r="I16" s="2" t="n">
        <v>0</v>
      </c>
      <c r="J16" s="2" t="b">
        <v>1</v>
      </c>
      <c r="K16" s="2">
        <f>IF(J16,E16*0.15,0)</f>
        <v/>
      </c>
      <c r="L16" s="2" t="n">
        <v>155000</v>
      </c>
      <c r="M16" s="2" t="n">
        <v>185000</v>
      </c>
      <c r="N16" s="2">
        <f>AND(E16&gt;=L16,E16&lt;=M16)</f>
        <v/>
      </c>
      <c r="O16" s="2" t="inlineStr">
        <is>
          <t>2024-09-01</t>
        </is>
      </c>
      <c r="P16" s="2" t="inlineStr">
        <is>
          <t>2025-09-01</t>
        </is>
      </c>
      <c r="Q16" s="2" t="inlineStr">
        <is>
          <t>Exceptional</t>
        </is>
      </c>
      <c r="R16" s="2" t="inlineStr">
        <is>
          <t>Compiler optimisation lead</t>
        </is>
      </c>
    </row>
    <row r="17">
      <c r="A17" s="3" t="inlineStr">
        <is>
          <t>Patricia Selinger</t>
        </is>
      </c>
      <c r="B17" s="3" t="inlineStr">
        <is>
          <t>Research</t>
        </is>
      </c>
      <c r="C17" s="3" t="inlineStr">
        <is>
          <t>Research Lead</t>
        </is>
      </c>
      <c r="D17" s="3" t="inlineStr">
        <is>
          <t>L6</t>
        </is>
      </c>
      <c r="E17" s="3" t="n">
        <v>155000</v>
      </c>
      <c r="F17" s="3" t="n">
        <v>4.3</v>
      </c>
      <c r="G17" s="3" t="n">
        <v>96</v>
      </c>
      <c r="H17" s="3" t="n">
        <v>10</v>
      </c>
      <c r="I17" s="3" t="n">
        <v>1</v>
      </c>
      <c r="J17" s="3" t="b">
        <v>1</v>
      </c>
      <c r="K17" s="3">
        <f>IF(J17,E17*0.1,0)</f>
        <v/>
      </c>
      <c r="L17" s="3" t="n">
        <v>142000</v>
      </c>
      <c r="M17" s="3" t="n">
        <v>172000</v>
      </c>
      <c r="N17" s="3">
        <f>AND(E17&gt;=L17,E17&lt;=M17)</f>
        <v/>
      </c>
      <c r="O17" s="3" t="inlineStr">
        <is>
          <t>2024-07-15</t>
        </is>
      </c>
      <c r="P17" s="3" t="inlineStr">
        <is>
          <t>2025-07-15</t>
        </is>
      </c>
      <c r="Q17" s="3" t="inlineStr">
        <is>
          <t>Exceeds</t>
        </is>
      </c>
      <c r="R17" s="3" t="inlineStr"/>
    </row>
    <row r="18">
      <c r="A18" s="2" t="inlineStr">
        <is>
          <t>Shafi Goldwasser</t>
        </is>
      </c>
      <c r="B18" s="2" t="inlineStr">
        <is>
          <t>Research</t>
        </is>
      </c>
      <c r="C18" s="2" t="inlineStr">
        <is>
          <t>Distinguished Sci</t>
        </is>
      </c>
      <c r="D18" s="2" t="inlineStr">
        <is>
          <t>L7</t>
        </is>
      </c>
      <c r="E18" s="2" t="n">
        <v>178000</v>
      </c>
      <c r="F18" s="2" t="n">
        <v>4.8</v>
      </c>
      <c r="G18" s="2" t="n">
        <v>97.5</v>
      </c>
      <c r="H18" s="2" t="n">
        <v>16</v>
      </c>
      <c r="I18" s="2" t="n">
        <v>0</v>
      </c>
      <c r="J18" s="2" t="b">
        <v>1</v>
      </c>
      <c r="K18" s="2">
        <f>IF(J18,E18*0.15,0)</f>
        <v/>
      </c>
      <c r="L18" s="2" t="n">
        <v>165000</v>
      </c>
      <c r="M18" s="2" t="n">
        <v>200000</v>
      </c>
      <c r="N18" s="2">
        <f>AND(E18&gt;=L18,E18&lt;=M18)</f>
        <v/>
      </c>
      <c r="O18" s="2" t="inlineStr">
        <is>
          <t>2024-10-15</t>
        </is>
      </c>
      <c r="P18" s="2" t="inlineStr">
        <is>
          <t>2025-10-15</t>
        </is>
      </c>
      <c r="Q18" s="2" t="inlineStr">
        <is>
          <t>Exceptional</t>
        </is>
      </c>
      <c r="R18" s="2" t="inlineStr">
        <is>
          <t>Cryptography roadmap owner</t>
        </is>
      </c>
    </row>
    <row r="19">
      <c r="A19" s="3" t="inlineStr">
        <is>
          <t>Tony Hoare</t>
        </is>
      </c>
      <c r="B19" s="3" t="inlineStr">
        <is>
          <t>Engineering</t>
        </is>
      </c>
      <c r="C19" s="3" t="inlineStr">
        <is>
          <t>Senior Engineer</t>
        </is>
      </c>
      <c r="D19" s="3" t="inlineStr">
        <is>
          <t>L4</t>
        </is>
      </c>
      <c r="E19" s="3" t="n">
        <v>108000</v>
      </c>
      <c r="F19" s="3" t="n">
        <v>3.7</v>
      </c>
      <c r="G19" s="3" t="n">
        <v>92</v>
      </c>
      <c r="H19" s="3" t="n">
        <v>7</v>
      </c>
      <c r="I19" s="3" t="n">
        <v>2</v>
      </c>
      <c r="J19" s="3" t="b">
        <v>1</v>
      </c>
      <c r="K19" s="3">
        <f>IF(J19,E19*0.05,0)</f>
        <v/>
      </c>
      <c r="L19" s="3" t="n">
        <v>105000</v>
      </c>
      <c r="M19" s="3" t="n">
        <v>135000</v>
      </c>
      <c r="N19" s="3">
        <f>AND(E19&gt;=L19,E19&lt;=M19)</f>
        <v/>
      </c>
      <c r="O19" s="3" t="inlineStr">
        <is>
          <t>2024-12-01</t>
        </is>
      </c>
      <c r="P19" s="3" t="inlineStr">
        <is>
          <t>2025-12-01</t>
        </is>
      </c>
      <c r="Q19" s="3" t="inlineStr">
        <is>
          <t>Meets</t>
        </is>
      </c>
      <c r="R1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2026-05-24T10:56:33Z</dcterms:created>
  <dcterms:modified xsi:type="dcterms:W3CDTF">2026-05-24T10:56:33Z</dcterms:modified>
</cp:coreProperties>
</file>